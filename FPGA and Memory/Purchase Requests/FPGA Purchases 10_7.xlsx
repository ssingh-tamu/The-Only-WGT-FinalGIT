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<sst xmlns="http://schemas.openxmlformats.org/spreadsheetml/2006/main" count="18" uniqueCount="16">
  <si>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Transaction</t>
  </si>
  <si>
    <t>Date</t>
  </si>
  <si>
    <t>Quantity</t>
  </si>
  <si>
    <t>Cost</t>
  </si>
  <si>
    <t>Status</t>
  </si>
  <si>
    <t>Links</t>
  </si>
  <si>
    <t>10M08 FPGA</t>
  </si>
  <si>
    <t>Not Purchased</t>
  </si>
  <si>
    <t>https://www.digikey.com/en/products/detail/altera/10M08SCE144I7G/5044245</t>
  </si>
  <si>
    <t>128k SRAM</t>
  </si>
  <si>
    <t>https://www.digikey.com/en/products/detail/issi-integrated-silicon-solution-inc/IS62WV12816BLL-55TLI/1555418</t>
  </si>
  <si>
    <t>TSOP-44(II) to DIP-44 SMT Adapter</t>
  </si>
  <si>
    <t>https://www.mouser.com/ProductDetail/Chip-Quik/PA0217?qs=gjT6naH6P5LpZVyGXd9trw%3D%3D&amp;srsltid=AfmBOoocdt4Y6tUcOdm2flGKcLjiEkXB7XVB7oAgQvBBZdTCcuATHrXZ</t>
  </si>
  <si>
    <t>Total</t>
  </si>
  <si>
    <t>Available Budget</t>
  </si>
  <si>
    <t>Budget 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</si>
</sst>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0" xfId="0" applyBorder="1" applyFont="1"/>
    <xf borderId="5" fillId="0" fontId="1" numFmtId="165" xfId="0" applyBorder="1" applyFont="1" applyNumberFormat="1"/>
    <xf borderId="5" fillId="0" fontId="1" numFmtId="165" xfId="0" applyBorder="1" applyFont="1" applyNumberFormat="1"/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altera/10M08SCE144I7G/5044245" TargetMode="External"/><Relationship Id="rId2" Type="http://schemas.openxmlformats.org/officeDocument/2006/relationships/hyperlink" Target="https://www.digikey.com/en/products/detail/issi-integrated-silicon-solution-inc/IS62WV12816BLL-55TLI/1555418" TargetMode="External"/><Relationship Id="rId3" Type="http://schemas.openxmlformats.org/officeDocument/2006/relationships/hyperlink" Target="https://www.mouser.com/ProductDetail/Chip-Quik/PA0217?qs=gjT6naH6P5LpZVyGXd9trw%3D%3D&amp;srsltid=AfmBOoocdt4Y6tUcOdm2flGKcLjiEkXB7XVB7oAgQvBBZdTCcuATHrXZ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6" max="6" width="5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5">
        <v>45937.0</v>
      </c>
      <c r="C2" s="6">
        <v>1.0</v>
      </c>
      <c r="D2" s="7">
        <v>32.87</v>
      </c>
      <c r="E2" s="6" t="s">
        <v>7</v>
      </c>
      <c r="F2" s="8" t="s">
        <v>8</v>
      </c>
    </row>
    <row r="3">
      <c r="A3" s="4" t="s">
        <v>9</v>
      </c>
      <c r="B3" s="5">
        <v>45937.0</v>
      </c>
      <c r="C3" s="6">
        <v>2.0</v>
      </c>
      <c r="D3" s="7">
        <v>2.51</v>
      </c>
      <c r="E3" s="6" t="s">
        <v>7</v>
      </c>
      <c r="F3" s="8" t="s">
        <v>10</v>
      </c>
    </row>
    <row r="4">
      <c r="A4" s="4" t="s">
        <v>11</v>
      </c>
      <c r="B4" s="5">
        <v>45937.0</v>
      </c>
      <c r="C4" s="6">
        <v>2.0</v>
      </c>
      <c r="D4" s="7">
        <v>8.39</v>
      </c>
      <c r="E4" s="6" t="s">
        <v>7</v>
      </c>
      <c r="F4" s="8" t="s">
        <v>12</v>
      </c>
    </row>
    <row r="5">
      <c r="A5" s="9" t="s">
        <v>13</v>
      </c>
      <c r="B5" s="10"/>
      <c r="C5" s="11"/>
      <c r="D5" s="12">
        <f>SUMPRODUCT(D2:D4, C2:C4)</f>
        <v>54.67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4" t="s">
        <v>14</v>
      </c>
      <c r="D6" s="7">
        <v>448.4</v>
      </c>
    </row>
    <row r="7">
      <c r="A7" s="9" t="s">
        <v>15</v>
      </c>
      <c r="B7" s="11"/>
      <c r="C7" s="11"/>
      <c r="D7" s="13">
        <f>D6-D5</f>
        <v>393.73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14"/>
    </row>
    <row r="9">
      <c r="A9" s="14"/>
    </row>
    <row r="10">
      <c r="A10" s="14"/>
    </row>
    <row r="11">
      <c r="A11" s="14"/>
    </row>
    <row r="12">
      <c r="A12" s="14"/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hyperlinks>
    <hyperlink r:id="rId1" ref="F2"/>
    <hyperlink r:id="rId2" ref="F3"/>
    <hyperlink r:id="rId3" ref="F4"/>
  </hyperlinks>
  <drawing r:id="rId4"/>
</worksheet>
</file>