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<sst xmlns="http://schemas.openxmlformats.org/spreadsheetml/2006/main" count="138" uniqueCount="69">
  <si>
    <t>MONTH/YEAR</t>
  </si>
  <si>
    <t>INCOME</t>
  </si>
  <si>
    <t>BUDGET</t>
  </si>
  <si>
    <t>PURCHASES</t>
  </si>
  <si>
    <t>Income Source</t>
  </si>
  <si>
    <t>Date</t>
  </si>
  <si>
    <t>Income</t>
  </si>
  <si>
    <t>Notes</t>
  </si>
  <si>
    <t>Monthly Expenses</t>
  </si>
  <si>
    <t>Planned</t>
  </si>
  <si>
    <t>Actual</t>
  </si>
  <si>
    <t>Difference</t>
  </si>
  <si>
    <t>Transaction</t>
  </si>
  <si>
    <t>Quantity</t>
  </si>
  <si>
    <t>Cost</t>
  </si>
  <si>
    <t>Status</t>
  </si>
  <si>
    <t>Comments</t>
  </si>
  <si>
    <t>Name + Links</t>
  </si>
  <si>
    <t>Serene Singh</t>
  </si>
  <si>
    <t>Mobile/Enclosure</t>
  </si>
  <si>
    <t>DAC/Microcontrollers</t>
  </si>
  <si>
    <t>Pending</t>
  </si>
  <si>
    <t>2 TI DAC8820</t>
  </si>
  <si>
    <t>Joe Knipper</t>
  </si>
  <si>
    <t>Not Purchased</t>
  </si>
  <si>
    <t>LED Panel Mount Indicators LED SNAPIN PAN IND</t>
  </si>
  <si>
    <t>645-559-2201-003F</t>
  </si>
  <si>
    <t>Brayden Donovan</t>
  </si>
  <si>
    <t>Power/Filter</t>
  </si>
  <si>
    <t>343-CONBNC002-ND</t>
  </si>
  <si>
    <t>OPA2140</t>
  </si>
  <si>
    <t>Team Member 4</t>
  </si>
  <si>
    <t>FPGA</t>
  </si>
  <si>
    <t>OPA1612</t>
  </si>
  <si>
    <t>Total</t>
  </si>
  <si>
    <t>Other</t>
  </si>
  <si>
    <t>(may need more for testing and caution)</t>
  </si>
  <si>
    <t>DC Power Jack: 694106301002</t>
  </si>
  <si>
    <t>2A Fuse: 0408002.WR</t>
  </si>
  <si>
    <t>P-Channel Mosfet for RPT: AO3401A</t>
  </si>
  <si>
    <t>TVS: SMBJ15A</t>
  </si>
  <si>
    <t>220 uF Bulk + Decoupling: 865230457007</t>
  </si>
  <si>
    <t>Current sense resistor: WSLP2512R0100FEA</t>
  </si>
  <si>
    <t>Power/current monitor IC: INA219AIDR</t>
  </si>
  <si>
    <t>Buck Converter: MIC26903YJL-TR</t>
  </si>
  <si>
    <t>Buck External Parts</t>
  </si>
  <si>
    <t>LDO: LT1763CS8-3.3#PBF</t>
  </si>
  <si>
    <t>Inverter for output voltage: LM27761DSGT</t>
  </si>
  <si>
    <t>Inverter External Parts</t>
  </si>
  <si>
    <t>Output indicator LEDs</t>
  </si>
  <si>
    <t>Filtering below: check</t>
  </si>
  <si>
    <t>VREF: LTC6655-2.5</t>
  </si>
  <si>
    <t>DAC output buffer/bipolarizer: OPA827</t>
  </si>
  <si>
    <t>Reconstruction Filter op-amps: ADA4899-1</t>
  </si>
  <si>
    <t>VGA/PGA: ADG1411</t>
  </si>
  <si>
    <t>Offset Summing Amplifier: OPA2140</t>
  </si>
  <si>
    <t>Output buffer/line driver to drive 50 Ohm loads: THS3091</t>
  </si>
  <si>
    <t>Passive &amp; Protection Components</t>
  </si>
  <si>
    <t>Purchased</t>
  </si>
  <si>
    <t>10M08 FPGA</t>
  </si>
  <si>
    <t>128k SRAM</t>
  </si>
  <si>
    <t>TSOP-44(II) to DIP-44 SMT Adapter</t>
  </si>
  <si>
    <t>FPGA PCB Components</t>
  </si>
  <si>
    <t>General Power/Filter Order, includes Tariffs and Tax</t>
  </si>
  <si>
    <t xml:space="preserve">BNC Jack </t>
  </si>
  <si>
    <t>Type: 50 Ω BNC jack</t>
  </si>
  <si>
    <t>Frequency rating: At least 100 MHz (well above your 100 kHz output)</t>
  </si>
  <si>
    <t>Voltage rating: ≥100 V (your ±5 V is trivial)</t>
  </si>
  <si>
    <t>Style: Right-angle PCB mount (if the board is enclosure-aligned) or panel-mount bulkhead (with short coax if offset)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</si>
</sst>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&quot; &quot;d"/>
    <numFmt numFmtId="165" formatCode="&quot;$&quot;#,##0.00"/>
    <numFmt numFmtId="166" formatCode="mmm d"/>
    <numFmt numFmtId="167" formatCode="m/d"/>
    <numFmt numFmtId="168" formatCode="&quot;$&quot;#,##0"/>
  </numFmts>
  <fonts count="15">
    <font>
      <sz val="10.0"/>
      <color rgb="FF000000"/>
      <name val="Arial"/>
      <scheme val="minor"/>
    </font>
    <font>
      <b/>
      <color rgb="FF45818E"/>
      <name val="Arial"/>
    </font>
    <font>
      <color theme="1"/>
      <name val="Arial"/>
    </font>
    <font>
      <b/>
      <color rgb="FFB6D7A8"/>
      <name val="Arial"/>
    </font>
    <font>
      <b/>
      <color rgb="FF3D85C6"/>
      <name val="Arial"/>
    </font>
    <font>
      <b/>
      <color rgb="FFEA9999"/>
      <name val="Arial"/>
    </font>
    <font>
      <b/>
      <color theme="1"/>
      <name val="Arial"/>
    </font>
    <font>
      <color rgb="FFFF0000"/>
      <name val="Arial"/>
    </font>
    <font>
      <u/>
      <color rgb="FFFF0000"/>
      <name val="Arial"/>
    </font>
    <font>
      <color rgb="FF333333"/>
      <name val="Arial"/>
    </font>
    <font>
      <u/>
      <color rgb="FF0000FF"/>
      <name val="Arial"/>
    </font>
    <font>
      <sz val="12.0"/>
      <color rgb="FF333333"/>
      <name val="Arial"/>
    </font>
    <font>
      <color rgb="FF000000"/>
      <name val="Arial"/>
    </font>
    <font>
      <u/>
      <color rgb="FF00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25">
    <border/>
    <border>
      <left style="thick">
        <color rgb="FFB6D7A8"/>
      </left>
      <top style="thick">
        <color rgb="FFB6D7A8"/>
      </top>
    </border>
    <border>
      <top style="thick">
        <color rgb="FFB6D7A8"/>
      </top>
    </border>
    <border>
      <right style="thick">
        <color rgb="FFB6D7A8"/>
      </right>
      <top style="thick">
        <color rgb="FFB6D7A8"/>
      </top>
    </border>
    <border>
      <left style="thick">
        <color rgb="FF3D85C6"/>
      </left>
      <top style="thick">
        <color rgb="FF3D85C6"/>
      </top>
    </border>
    <border>
      <top style="thick">
        <color rgb="FF3D85C6"/>
      </top>
    </border>
    <border>
      <right style="thick">
        <color rgb="FF3D85C6"/>
      </right>
      <top style="thick">
        <color rgb="FF3D85C6"/>
      </top>
    </border>
    <border>
      <left style="thick">
        <color rgb="FFEA9999"/>
      </left>
      <top style="thick">
        <color rgb="FFEA9999"/>
      </top>
    </border>
    <border>
      <top style="thick">
        <color rgb="FFEA9999"/>
      </top>
    </border>
    <border>
      <right style="thick">
        <color rgb="FFEA9999"/>
      </right>
      <top style="thick">
        <color rgb="FFEA9999"/>
      </top>
    </border>
    <border>
      <left style="thick">
        <color rgb="FFB6D7A8"/>
      </left>
    </border>
    <border>
      <right style="thick">
        <color rgb="FFB6D7A8"/>
      </right>
    </border>
    <border>
      <left style="thick">
        <color rgb="FF3D85C6"/>
      </left>
    </border>
    <border>
      <right style="thick">
        <color rgb="FF3D85C6"/>
      </right>
    </border>
    <border>
      <left style="thick">
        <color rgb="FFEA9999"/>
      </left>
    </border>
    <border>
      <right style="thick">
        <color rgb="FFEA9999"/>
      </right>
    </border>
    <border>
      <left style="thick">
        <color rgb="FFB6D7A8"/>
      </left>
      <bottom style="thick">
        <color rgb="FFB6D7A8"/>
      </bottom>
    </border>
    <border>
      <bottom style="thick">
        <color rgb="FFB6D7A8"/>
      </bottom>
    </border>
    <border>
      <right style="thick">
        <color rgb="FFB6D7A8"/>
      </right>
      <bottom style="thick">
        <color rgb="FFB6D7A8"/>
      </bottom>
    </border>
    <border>
      <left style="thick">
        <color rgb="FF3D85C6"/>
      </left>
      <bottom style="thick">
        <color rgb="FF3D85C6"/>
      </bottom>
    </border>
    <border>
      <bottom style="thick">
        <color rgb="FF3D85C6"/>
      </bottom>
    </border>
    <border>
      <right style="thick">
        <color rgb="FF3D85C6"/>
      </right>
      <bottom style="thick">
        <color rgb="FF3D85C6"/>
      </bottom>
    </border>
    <border>
      <left style="thick">
        <color rgb="FFEA9999"/>
      </left>
      <bottom style="thick">
        <color rgb="FFEA9999"/>
      </bottom>
    </border>
    <border>
      <bottom style="thick">
        <color rgb="FFEA9999"/>
      </bottom>
    </border>
    <border>
      <right style="thick">
        <color rgb="FFEA9999"/>
      </right>
      <bottom style="thick">
        <color rgb="FFEA9999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2" fontId="6" numFmtId="0" xfId="0" applyAlignment="1" applyBorder="1" applyFill="1" applyFont="1">
      <alignment vertical="bottom"/>
    </xf>
    <xf borderId="2" fillId="2" fontId="6" numFmtId="0" xfId="0" applyAlignment="1" applyBorder="1" applyFont="1">
      <alignment vertical="bottom"/>
    </xf>
    <xf borderId="3" fillId="2" fontId="6" numFmtId="0" xfId="0" applyAlignment="1" applyBorder="1" applyFont="1">
      <alignment vertical="bottom"/>
    </xf>
    <xf borderId="4" fillId="3" fontId="6" numFmtId="0" xfId="0" applyAlignment="1" applyBorder="1" applyFill="1" applyFont="1">
      <alignment vertical="bottom"/>
    </xf>
    <xf borderId="5" fillId="3" fontId="6" numFmtId="0" xfId="0" applyAlignment="1" applyBorder="1" applyFont="1">
      <alignment vertical="bottom"/>
    </xf>
    <xf borderId="6" fillId="3" fontId="6" numFmtId="0" xfId="0" applyAlignment="1" applyBorder="1" applyFont="1">
      <alignment vertical="bottom"/>
    </xf>
    <xf borderId="7" fillId="4" fontId="6" numFmtId="0" xfId="0" applyAlignment="1" applyBorder="1" applyFill="1" applyFont="1">
      <alignment horizontal="center" vertical="bottom"/>
    </xf>
    <xf borderId="8" fillId="4" fontId="6" numFmtId="164" xfId="0" applyAlignment="1" applyBorder="1" applyFont="1" applyNumberFormat="1">
      <alignment horizontal="center" vertical="bottom"/>
    </xf>
    <xf borderId="8" fillId="4" fontId="6" numFmtId="0" xfId="0" applyAlignment="1" applyBorder="1" applyFont="1">
      <alignment horizontal="center" readingOrder="0" vertical="bottom"/>
    </xf>
    <xf borderId="8" fillId="4" fontId="6" numFmtId="165" xfId="0" applyAlignment="1" applyBorder="1" applyFont="1" applyNumberFormat="1">
      <alignment horizontal="center" vertical="bottom"/>
    </xf>
    <xf borderId="9" fillId="4" fontId="6" numFmtId="0" xfId="0" applyAlignment="1" applyBorder="1" applyFont="1">
      <alignment horizontal="center" readingOrder="0" vertical="bottom"/>
    </xf>
    <xf borderId="8" fillId="4" fontId="6" numFmtId="0" xfId="0" applyAlignment="1" applyBorder="1" applyFont="1">
      <alignment horizontal="center" vertical="bottom"/>
    </xf>
    <xf borderId="10" fillId="0" fontId="2" numFmtId="0" xfId="0" applyAlignment="1" applyBorder="1" applyFont="1">
      <alignment readingOrder="0" vertical="bottom"/>
    </xf>
    <xf borderId="0" fillId="0" fontId="2" numFmtId="166" xfId="0" applyAlignment="1" applyFont="1" applyNumberFormat="1">
      <alignment vertical="bottom"/>
    </xf>
    <xf borderId="0" fillId="0" fontId="2" numFmtId="165" xfId="0" applyAlignment="1" applyFont="1" applyNumberFormat="1">
      <alignment readingOrder="0" vertical="bottom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readingOrder="0" vertical="bottom"/>
    </xf>
    <xf borderId="0" fillId="0" fontId="2" numFmtId="165" xfId="0" applyAlignment="1" applyFont="1" applyNumberFormat="1">
      <alignment horizontal="right" vertical="bottom"/>
    </xf>
    <xf borderId="0" fillId="5" fontId="2" numFmtId="165" xfId="0" applyAlignment="1" applyFill="1" applyFont="1" applyNumberFormat="1">
      <alignment horizontal="right" vertical="bottom"/>
    </xf>
    <xf borderId="13" fillId="0" fontId="2" numFmtId="0" xfId="0" applyAlignment="1" applyBorder="1" applyFont="1">
      <alignment vertical="bottom"/>
    </xf>
    <xf borderId="14" fillId="0" fontId="7" numFmtId="0" xfId="0" applyAlignment="1" applyBorder="1" applyFont="1">
      <alignment readingOrder="0" vertical="bottom"/>
    </xf>
    <xf borderId="0" fillId="0" fontId="7" numFmtId="167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165" xfId="0" applyAlignment="1" applyFont="1" applyNumberFormat="1">
      <alignment horizontal="center" readingOrder="0" vertical="bottom"/>
    </xf>
    <xf borderId="15" fillId="0" fontId="7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15" fillId="0" fontId="8" numFmtId="0" xfId="0" applyAlignment="1" applyBorder="1" applyFont="1">
      <alignment readingOrder="0" vertical="bottom"/>
    </xf>
    <xf borderId="0" fillId="0" fontId="2" numFmtId="164" xfId="0" applyAlignment="1" applyFont="1" applyNumberFormat="1">
      <alignment vertical="bottom"/>
    </xf>
    <xf borderId="1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5" xfId="0" applyAlignment="1" applyFont="1" applyNumberFormat="1">
      <alignment horizontal="center" readingOrder="0" vertical="bottom"/>
    </xf>
    <xf borderId="15" fillId="0" fontId="2" numFmtId="0" xfId="0" applyAlignment="1" applyBorder="1" applyFont="1">
      <alignment horizontal="center" readingOrder="0" vertical="bottom"/>
    </xf>
    <xf borderId="0" fillId="6" fontId="9" numFmtId="0" xfId="0" applyAlignment="1" applyFill="1" applyFont="1">
      <alignment horizontal="left" readingOrder="0"/>
    </xf>
    <xf borderId="15" fillId="0" fontId="10" numFmtId="0" xfId="0" applyAlignment="1" applyBorder="1" applyFont="1">
      <alignment readingOrder="0" vertical="bottom"/>
    </xf>
    <xf borderId="0" fillId="6" fontId="11" numFmtId="0" xfId="0" applyAlignment="1" applyFont="1">
      <alignment horizontal="left"/>
    </xf>
    <xf borderId="14" fillId="0" fontId="12" numFmtId="0" xfId="0" applyAlignment="1" applyBorder="1" applyFont="1">
      <alignment readingOrder="0" vertical="bottom"/>
    </xf>
    <xf borderId="0" fillId="0" fontId="12" numFmtId="164" xfId="0" applyAlignment="1" applyFont="1" applyNumberFormat="1">
      <alignment horizontal="center" vertical="bottom"/>
    </xf>
    <xf borderId="0" fillId="0" fontId="12" numFmtId="165" xfId="0" applyAlignment="1" applyFont="1" applyNumberFormat="1">
      <alignment horizontal="center" readingOrder="0" vertical="bottom"/>
    </xf>
    <xf borderId="15" fillId="0" fontId="12" numFmtId="0" xfId="0" applyAlignment="1" applyBorder="1" applyFont="1">
      <alignment horizontal="center" readingOrder="0" vertical="bottom"/>
    </xf>
    <xf borderId="15" fillId="0" fontId="13" numFmtId="0" xfId="0" applyAlignment="1" applyBorder="1" applyFont="1">
      <alignment readingOrder="0" vertical="bottom"/>
    </xf>
    <xf borderId="16" fillId="2" fontId="6" numFmtId="0" xfId="0" applyAlignment="1" applyBorder="1" applyFont="1">
      <alignment vertical="bottom"/>
    </xf>
    <xf borderId="17" fillId="2" fontId="2" numFmtId="164" xfId="0" applyAlignment="1" applyBorder="1" applyFont="1" applyNumberFormat="1">
      <alignment vertical="bottom"/>
    </xf>
    <xf borderId="17" fillId="2" fontId="6" numFmtId="165" xfId="0" applyAlignment="1" applyBorder="1" applyFont="1" applyNumberFormat="1">
      <alignment horizontal="right" vertical="bottom"/>
    </xf>
    <xf borderId="18" fillId="2" fontId="2" numFmtId="0" xfId="0" applyAlignment="1" applyBorder="1" applyFont="1">
      <alignment vertical="bottom"/>
    </xf>
    <xf borderId="0" fillId="0" fontId="2" numFmtId="168" xfId="0" applyAlignment="1" applyFont="1" applyNumberFormat="1">
      <alignment vertical="bottom"/>
    </xf>
    <xf borderId="19" fillId="0" fontId="2" numFmtId="0" xfId="0" applyAlignment="1" applyBorder="1" applyFont="1">
      <alignment vertical="bottom"/>
    </xf>
    <xf borderId="20" fillId="3" fontId="6" numFmtId="165" xfId="0" applyAlignment="1" applyBorder="1" applyFont="1" applyNumberFormat="1">
      <alignment horizontal="right" vertical="bottom"/>
    </xf>
    <xf borderId="20" fillId="0" fontId="2" numFmtId="0" xfId="0" applyAlignment="1" applyBorder="1" applyFont="1">
      <alignment vertical="bottom"/>
    </xf>
    <xf borderId="21" fillId="0" fontId="2" numFmtId="0" xfId="0" applyAlignment="1" applyBorder="1" applyFont="1">
      <alignment vertical="bottom"/>
    </xf>
    <xf borderId="1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center" vertical="bottom"/>
    </xf>
    <xf borderId="15" fillId="0" fontId="2" numFmtId="0" xfId="0" applyAlignment="1" applyBorder="1" applyFont="1">
      <alignment readingOrder="0" vertical="bottom"/>
    </xf>
    <xf borderId="0" fillId="0" fontId="12" numFmtId="167" xfId="0" applyAlignment="1" applyFont="1" applyNumberFormat="1">
      <alignment horizontal="center" readingOrder="0" vertical="bottom"/>
    </xf>
    <xf borderId="0" fillId="0" fontId="12" numFmtId="0" xfId="0" applyAlignment="1" applyFont="1">
      <alignment horizontal="center" readingOrder="0" vertical="bottom"/>
    </xf>
    <xf borderId="0" fillId="0" fontId="1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4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0" fillId="0" fontId="2" numFmtId="166" xfId="0" applyAlignment="1" applyFont="1" applyNumberFormat="1">
      <alignment horizontal="center" vertical="bottom"/>
    </xf>
    <xf borderId="22" fillId="0" fontId="2" numFmtId="0" xfId="0" applyAlignment="1" applyBorder="1" applyFont="1">
      <alignment vertical="bottom"/>
    </xf>
    <xf borderId="23" fillId="0" fontId="2" numFmtId="0" xfId="0" applyAlignment="1" applyBorder="1" applyFont="1">
      <alignment horizontal="center" vertical="bottom"/>
    </xf>
    <xf borderId="23" fillId="0" fontId="2" numFmtId="0" xfId="0" applyAlignment="1" applyBorder="1" applyFont="1">
      <alignment vertical="bottom"/>
    </xf>
    <xf borderId="24" fillId="0" fontId="2" numFmtId="0" xfId="0" applyAlignment="1" applyBorder="1" applyFont="1">
      <alignment vertical="bottom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texas-instruments/OPA2140AIDR/2597282" TargetMode="External"/><Relationship Id="rId22" Type="http://schemas.openxmlformats.org/officeDocument/2006/relationships/hyperlink" Target="https://www.digikey.com/en/products/detail/altera/10M08SCE144I7G/5044245" TargetMode="External"/><Relationship Id="rId21" Type="http://schemas.openxmlformats.org/officeDocument/2006/relationships/hyperlink" Target="https://www.mouser.com/ProductDetail/Texas-Instruments/THS3091IDGNR?qs=OcgtsXO%252B3guzZnsCfpKFjQ%3D%3D" TargetMode="External"/><Relationship Id="rId24" Type="http://schemas.openxmlformats.org/officeDocument/2006/relationships/hyperlink" Target="https://www.mouser.com/ProductDetail/Chip-Quik/PA0217?qs=gjT6naH6P5LpZVyGXd9trw%3D%3D&amp;srsltid=AfmBOoocdt4Y6tUcOdm2flGKcLjiEkXB7XVB7oAgQvBBZdTCcuATHrXZ" TargetMode="External"/><Relationship Id="rId23" Type="http://schemas.openxmlformats.org/officeDocument/2006/relationships/hyperlink" Target="https://www.digikey.com/en/products/detail/issi-integrated-silicon-solution-inc/IS62WV12816BLL-55TLI/1555418" TargetMode="External"/><Relationship Id="rId1" Type="http://schemas.openxmlformats.org/officeDocument/2006/relationships/hyperlink" Target="https://www.mouser.com/ProductDetail/Texas-Instruments/DAC8820IBDB?qs=rNOSrj6uCs0DMtzg30wQrA%3D%3D" TargetMode="External"/><Relationship Id="rId2" Type="http://schemas.openxmlformats.org/officeDocument/2006/relationships/hyperlink" Target="https://www.mouser.com/ProductDetail/Dialight/559-2201-003F?qs=sGAEpiMZZMv0DJfhVcWlKyupxVQyBVfqGH79ThDSPxaW3EYzUAwJ2A%3D%3D" TargetMode="External"/><Relationship Id="rId3" Type="http://schemas.openxmlformats.org/officeDocument/2006/relationships/hyperlink" Target="https://www.digikey.com/en/products/detail/te-connectivity-linx/CONBNC002/16013841" TargetMode="External"/><Relationship Id="rId4" Type="http://schemas.openxmlformats.org/officeDocument/2006/relationships/hyperlink" Target="https://www.mouser.com/ProductDetail/Texas-Instruments/OPA2140AID?qs=1WmUhT%2FVMIPYSL%2F7pjMJOQ%3D%3D&amp;utm_id=9042821733&amp;utm_source=google&amp;utm_medium=cpc&amp;utm_marketing_tactic=amercorp&amp;gad_source=1&amp;gad_campaignid=9042821733&amp;gbraid=0AAAAADn_wf1APn1xukw1yCTRLgGtJniMZ&amp;gclid=CjwKCAjwlaTGBhANEiwAoRgXBZov7mmC4Xb-BDO-DcayMARHwacOm4Fqjkrz5wQzx7EpuNJycFlPARoCWQ0QAvD_BwE" TargetMode="External"/><Relationship Id="rId9" Type="http://schemas.openxmlformats.org/officeDocument/2006/relationships/hyperlink" Target="https://www.digikey.com/en/products/detail/littelfuse-inc/SMBJ15A/285980?gclsrc=aw.ds&amp;gad_source=1&amp;gad_campaignid=17922795960&amp;gbraid=0AAAAADrbLlg2tm59WlUDE01AQXiYYwa_0&amp;gclid=Cj0KCQjw8p7GBhCjARIsAEhghZ2BzW3Si--w7UGVdfQ3GBpbEgxPXH6kVBirxSBIxVQqWdbTFZenHPUaAsMlEALw_wcB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digikey.com/short/52f3775d" TargetMode="External"/><Relationship Id="rId5" Type="http://schemas.openxmlformats.org/officeDocument/2006/relationships/hyperlink" Target="https://www.mouser.com/ProductDetail/Texas-Instruments/OPA1612AID?qs=6805eV47HhZ33ht61fXkkg%3D%3D&amp;utm_id=22380207736&amp;utm_source=google&amp;utm_medium=cpc&amp;utm_marketing_tactic=amercorp&amp;gad_source=1&amp;gad_campaignid=22376567996&amp;gbraid=0AAAAADn_wf37ELSYQpy-1rLZ41Dfle14f&amp;gclid=Cj0KCQjw58PGBhCkARIsADbDilxBTY1jFxFl0THzaVQz5J4xVIZU-cgLCup2BPfYnra1o4evOU42gWMaAo5IEALw_wcB" TargetMode="External"/><Relationship Id="rId6" Type="http://schemas.openxmlformats.org/officeDocument/2006/relationships/hyperlink" Target="https://www.mouser.com/ProductDetail/Wurth-Elektronik/694106301002?qs=a9WhcLg8qCwOEkcI62k5mA%3D%3D" TargetMode="External"/><Relationship Id="rId7" Type="http://schemas.openxmlformats.org/officeDocument/2006/relationships/hyperlink" Target="https://www.mouser.com/ProductDetail/Littelfuse/0408002.WR?qs=sGAEpiMZZMsIz3CjQ1xegZx2pdJYlyprhMdlXLLICqklJTLzs00qTw%3D%3D" TargetMode="External"/><Relationship Id="rId8" Type="http://schemas.openxmlformats.org/officeDocument/2006/relationships/hyperlink" Target="https://www.digikey.com/en/products/detail/alpha-omega-semiconductor-inc/AO3401A/1855773" TargetMode="External"/><Relationship Id="rId11" Type="http://schemas.openxmlformats.org/officeDocument/2006/relationships/hyperlink" Target="https://www.digikey.com/en/products/detail/vishay-dale/WSLP2512R0100FEA/9758426" TargetMode="External"/><Relationship Id="rId10" Type="http://schemas.openxmlformats.org/officeDocument/2006/relationships/hyperlink" Target="https://www.mouser.com/ProductDetail/Wurth-Elektronik/865230457007?qs=sGAEpiMZZMvwFf0viD3Y3aZipiehufnXZnTGFmRHFbWgIYZXAbpDyg%3D%3D" TargetMode="External"/><Relationship Id="rId13" Type="http://schemas.openxmlformats.org/officeDocument/2006/relationships/hyperlink" Target="https://www.digikey.com/en/products/detail/microchip-technology/MIC26903YJL-TR/2747223" TargetMode="External"/><Relationship Id="rId12" Type="http://schemas.openxmlformats.org/officeDocument/2006/relationships/hyperlink" Target="https://www.mouser.com/ProductDetail/Texas-Instruments/INA219AIDR?qs=XGzIaZb%2FFYIE5YcOHTnKDA%3D%3D&amp;utm_id=9042821733&amp;utm_source=google&amp;utm_medium=cpc&amp;utm_marketing_tactic=amercorp&amp;gad_source=1&amp;gad_campaignid=9042821733&amp;gbraid=0AAAAADn_wf1APn1xukw1yCTRLgGtJniMZ&amp;gclid=Cj0KCQjw8p7GBhCjARIsAEhghZ1G8Cgz3EQc-Mt0Kjpywpxafp2X_A3uZAxkyJO_RzkFtecfUMOeH60aAlGSEALw_wcB" TargetMode="External"/><Relationship Id="rId15" Type="http://schemas.openxmlformats.org/officeDocument/2006/relationships/hyperlink" Target="https://www.digikey.com/en/products/detail/texas-instruments/LM27761DSGT/5880550" TargetMode="External"/><Relationship Id="rId14" Type="http://schemas.openxmlformats.org/officeDocument/2006/relationships/hyperlink" Target="https://www.digikey.com/en/products/detail/analog-devices-inc/LT1763CS8-3-3-PBF/891881?gclsrc=aw.ds&amp;gad_source=1&amp;gad_campaignid=17922795960&amp;gbraid=0AAAAADrbLlg2tm59WlUDE01AQXiYYwa_0&amp;gclid=Cj0KCQjw8p7GBhCjARIsAEhghZ2JiBguOQPg232b1dUhWWJZ-HZvE_VIzK69z4YPbPABspGHP6uKz2saArfjEALw_wcB" TargetMode="External"/><Relationship Id="rId17" Type="http://schemas.openxmlformats.org/officeDocument/2006/relationships/hyperlink" Target="https://www.digikey.com/en/products/detail/texas-instruments/OPA827AIDGKR/2232416" TargetMode="External"/><Relationship Id="rId16" Type="http://schemas.openxmlformats.org/officeDocument/2006/relationships/hyperlink" Target="https://www.digikey.com/en/products/detail/analog-devices-inc/LTC6655CHMS8-5-PBF/2217113" TargetMode="External"/><Relationship Id="rId19" Type="http://schemas.openxmlformats.org/officeDocument/2006/relationships/hyperlink" Target="https://www.digikey.com/en/products/detail/analog-devices-inc/ADG1411YCPZ-REEL7/1972285" TargetMode="External"/><Relationship Id="rId18" Type="http://schemas.openxmlformats.org/officeDocument/2006/relationships/hyperlink" Target="https://www.digikey.com/en/products/detail/analog-devices-inc/ADA4899-1YRDZ-R7/119977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6.88"/>
    <col customWidth="1" min="12" max="12" width="19.38"/>
    <col customWidth="1" min="16" max="16" width="14.88"/>
    <col customWidth="1" min="17" max="17" width="30.5"/>
    <col customWidth="1" min="18" max="18" width="47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4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5" t="s">
        <v>1</v>
      </c>
      <c r="B2" s="2"/>
      <c r="C2" s="2"/>
      <c r="D2" s="2"/>
      <c r="E2" s="2"/>
      <c r="F2" s="6" t="s">
        <v>2</v>
      </c>
      <c r="G2" s="2"/>
      <c r="H2" s="2"/>
      <c r="I2" s="2"/>
      <c r="J2" s="2"/>
      <c r="K2" s="2"/>
      <c r="L2" s="7" t="s">
        <v>3</v>
      </c>
      <c r="M2" s="3"/>
      <c r="N2" s="2"/>
      <c r="O2" s="4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8" t="s">
        <v>4</v>
      </c>
      <c r="B3" s="9" t="s">
        <v>5</v>
      </c>
      <c r="C3" s="9" t="s">
        <v>6</v>
      </c>
      <c r="D3" s="10" t="s">
        <v>7</v>
      </c>
      <c r="E3" s="2"/>
      <c r="F3" s="11" t="s">
        <v>8</v>
      </c>
      <c r="G3" s="12" t="s">
        <v>9</v>
      </c>
      <c r="H3" s="12" t="s">
        <v>10</v>
      </c>
      <c r="I3" s="12" t="s">
        <v>11</v>
      </c>
      <c r="J3" s="13" t="s">
        <v>7</v>
      </c>
      <c r="K3" s="2"/>
      <c r="L3" s="14" t="s">
        <v>12</v>
      </c>
      <c r="M3" s="15" t="s">
        <v>5</v>
      </c>
      <c r="N3" s="16" t="s">
        <v>13</v>
      </c>
      <c r="O3" s="17" t="s">
        <v>14</v>
      </c>
      <c r="P3" s="18" t="s">
        <v>15</v>
      </c>
      <c r="Q3" s="19" t="s">
        <v>16</v>
      </c>
      <c r="R3" s="16" t="s">
        <v>17</v>
      </c>
      <c r="S3" s="2"/>
      <c r="T3" s="2"/>
      <c r="U3" s="2"/>
      <c r="V3" s="2"/>
      <c r="W3" s="2"/>
      <c r="X3" s="2"/>
      <c r="Y3" s="2"/>
    </row>
    <row r="4">
      <c r="A4" s="20" t="s">
        <v>18</v>
      </c>
      <c r="B4" s="21"/>
      <c r="C4" s="22">
        <v>125.0</v>
      </c>
      <c r="D4" s="23"/>
      <c r="E4" s="2"/>
      <c r="F4" s="24" t="s">
        <v>19</v>
      </c>
      <c r="G4" s="4"/>
      <c r="H4" s="25">
        <f t="shared" ref="H4:H6" si="1">sumif(L:L,F4,O:O)</f>
        <v>4.05</v>
      </c>
      <c r="I4" s="26">
        <f t="shared" ref="I4:I6" si="2">sum(G4-H4)</f>
        <v>-4.05</v>
      </c>
      <c r="J4" s="27"/>
      <c r="K4" s="2"/>
      <c r="L4" s="28" t="s">
        <v>20</v>
      </c>
      <c r="M4" s="29">
        <v>45923.0</v>
      </c>
      <c r="N4" s="30">
        <v>2.0</v>
      </c>
      <c r="O4" s="31">
        <v>23.75</v>
      </c>
      <c r="P4" s="32" t="s">
        <v>21</v>
      </c>
      <c r="Q4" s="33"/>
      <c r="R4" s="34" t="s">
        <v>22</v>
      </c>
      <c r="S4" s="2"/>
      <c r="T4" s="2"/>
      <c r="U4" s="2"/>
      <c r="V4" s="2"/>
      <c r="W4" s="2"/>
      <c r="X4" s="2"/>
      <c r="Y4" s="2"/>
    </row>
    <row r="5">
      <c r="A5" s="20" t="s">
        <v>23</v>
      </c>
      <c r="B5" s="35"/>
      <c r="C5" s="22">
        <v>125.0</v>
      </c>
      <c r="D5" s="23"/>
      <c r="E5" s="2"/>
      <c r="F5" s="24" t="s">
        <v>20</v>
      </c>
      <c r="G5" s="4"/>
      <c r="H5" s="25">
        <f t="shared" si="1"/>
        <v>39.75</v>
      </c>
      <c r="I5" s="26">
        <f t="shared" si="2"/>
        <v>-39.75</v>
      </c>
      <c r="J5" s="27"/>
      <c r="K5" s="2"/>
      <c r="L5" s="36" t="s">
        <v>19</v>
      </c>
      <c r="M5" s="3"/>
      <c r="N5" s="37">
        <v>2.0</v>
      </c>
      <c r="O5" s="38">
        <v>2.0</v>
      </c>
      <c r="P5" s="39" t="s">
        <v>24</v>
      </c>
      <c r="Q5" s="40" t="s">
        <v>25</v>
      </c>
      <c r="R5" s="41" t="s">
        <v>26</v>
      </c>
      <c r="S5" s="2"/>
      <c r="T5" s="2"/>
      <c r="U5" s="2"/>
      <c r="V5" s="2"/>
      <c r="W5" s="2"/>
      <c r="X5" s="2"/>
      <c r="Y5" s="2"/>
    </row>
    <row r="6">
      <c r="A6" s="20" t="s">
        <v>27</v>
      </c>
      <c r="B6" s="35"/>
      <c r="C6" s="22">
        <v>125.0</v>
      </c>
      <c r="D6" s="23"/>
      <c r="E6" s="2"/>
      <c r="F6" s="24" t="s">
        <v>28</v>
      </c>
      <c r="G6" s="4"/>
      <c r="H6" s="25">
        <f t="shared" si="1"/>
        <v>410.38</v>
      </c>
      <c r="I6" s="26">
        <f t="shared" si="2"/>
        <v>-410.38</v>
      </c>
      <c r="J6" s="27"/>
      <c r="K6" s="2"/>
      <c r="L6" s="28" t="s">
        <v>19</v>
      </c>
      <c r="M6" s="29">
        <v>45923.0</v>
      </c>
      <c r="N6" s="30">
        <v>2.0</v>
      </c>
      <c r="O6" s="31">
        <v>2.05</v>
      </c>
      <c r="P6" s="32" t="s">
        <v>21</v>
      </c>
      <c r="Q6" s="42"/>
      <c r="R6" s="34" t="s">
        <v>29</v>
      </c>
      <c r="S6" s="2"/>
      <c r="T6" s="2"/>
      <c r="U6" s="2"/>
      <c r="V6" s="2"/>
      <c r="W6" s="2"/>
      <c r="X6" s="2"/>
      <c r="Y6" s="2"/>
    </row>
    <row r="7">
      <c r="A7" s="20"/>
      <c r="B7" s="35"/>
      <c r="C7" s="22"/>
      <c r="D7" s="23"/>
      <c r="E7" s="2"/>
      <c r="F7" s="24"/>
      <c r="G7" s="4"/>
      <c r="H7" s="25"/>
      <c r="I7" s="26"/>
      <c r="J7" s="27"/>
      <c r="K7" s="2"/>
      <c r="L7" s="43" t="s">
        <v>20</v>
      </c>
      <c r="M7" s="44"/>
      <c r="N7" s="37">
        <v>1.0</v>
      </c>
      <c r="O7" s="45">
        <v>8.0</v>
      </c>
      <c r="P7" s="46" t="s">
        <v>24</v>
      </c>
      <c r="Q7" s="33"/>
      <c r="R7" s="47" t="s">
        <v>30</v>
      </c>
      <c r="S7" s="2"/>
      <c r="T7" s="2"/>
      <c r="U7" s="2"/>
      <c r="V7" s="2"/>
      <c r="W7" s="2"/>
      <c r="X7" s="2"/>
      <c r="Y7" s="2"/>
    </row>
    <row r="8">
      <c r="A8" s="20" t="s">
        <v>31</v>
      </c>
      <c r="B8" s="35"/>
      <c r="C8" s="22">
        <v>125.0</v>
      </c>
      <c r="D8" s="23"/>
      <c r="E8" s="2"/>
      <c r="F8" s="24" t="s">
        <v>32</v>
      </c>
      <c r="G8" s="4"/>
      <c r="H8" s="25">
        <f t="shared" ref="H8:H9" si="3">sumif(L:L,F8,O:O)</f>
        <v>65.74</v>
      </c>
      <c r="I8" s="26">
        <f t="shared" ref="I8:I9" si="4">sum(G8-H8)</f>
        <v>-65.74</v>
      </c>
      <c r="J8" s="27"/>
      <c r="K8" s="2"/>
      <c r="L8" s="43" t="s">
        <v>20</v>
      </c>
      <c r="M8" s="44"/>
      <c r="N8" s="37">
        <v>1.0</v>
      </c>
      <c r="O8" s="45">
        <v>8.0</v>
      </c>
      <c r="P8" s="46" t="s">
        <v>24</v>
      </c>
      <c r="Q8" s="33"/>
      <c r="R8" s="47" t="s">
        <v>33</v>
      </c>
      <c r="S8" s="2"/>
      <c r="T8" s="2"/>
      <c r="U8" s="2"/>
      <c r="V8" s="2"/>
      <c r="W8" s="2"/>
      <c r="X8" s="2"/>
      <c r="Y8" s="2"/>
    </row>
    <row r="9">
      <c r="A9" s="48" t="s">
        <v>34</v>
      </c>
      <c r="B9" s="49"/>
      <c r="C9" s="50">
        <f>SUM(C4:C8)</f>
        <v>500</v>
      </c>
      <c r="D9" s="51"/>
      <c r="E9" s="2"/>
      <c r="F9" s="24" t="s">
        <v>35</v>
      </c>
      <c r="G9" s="4"/>
      <c r="H9" s="25">
        <f t="shared" si="3"/>
        <v>0</v>
      </c>
      <c r="I9" s="26">
        <f t="shared" si="4"/>
        <v>0</v>
      </c>
      <c r="J9" s="27"/>
      <c r="K9" s="2"/>
      <c r="L9" s="36" t="s">
        <v>28</v>
      </c>
      <c r="M9" s="3"/>
      <c r="N9" s="37">
        <v>1.0</v>
      </c>
      <c r="O9" s="38"/>
      <c r="P9" s="39" t="s">
        <v>24</v>
      </c>
      <c r="Q9" s="33" t="s">
        <v>36</v>
      </c>
      <c r="R9" s="41" t="s">
        <v>37</v>
      </c>
      <c r="S9" s="2"/>
      <c r="T9" s="2"/>
      <c r="U9" s="2"/>
      <c r="V9" s="2"/>
      <c r="W9" s="2"/>
      <c r="X9" s="2"/>
      <c r="Y9" s="2"/>
    </row>
    <row r="10">
      <c r="A10" s="2"/>
      <c r="B10" s="35"/>
      <c r="C10" s="52"/>
      <c r="D10" s="2"/>
      <c r="E10" s="2"/>
      <c r="F10" s="53"/>
      <c r="G10" s="54">
        <f>SUM(G4:G9)</f>
        <v>0</v>
      </c>
      <c r="H10" s="54">
        <f>sum(H4:H9)</f>
        <v>519.92</v>
      </c>
      <c r="I10" s="55"/>
      <c r="J10" s="56"/>
      <c r="K10" s="2"/>
      <c r="L10" s="36" t="s">
        <v>28</v>
      </c>
      <c r="M10" s="3"/>
      <c r="N10" s="37">
        <v>1.0</v>
      </c>
      <c r="O10" s="38"/>
      <c r="P10" s="39" t="s">
        <v>24</v>
      </c>
      <c r="Q10" s="33"/>
      <c r="R10" s="41" t="s">
        <v>38</v>
      </c>
      <c r="S10" s="2"/>
      <c r="T10" s="2"/>
      <c r="U10" s="2"/>
      <c r="V10" s="2"/>
      <c r="W10" s="2"/>
      <c r="X10" s="2"/>
      <c r="Y10" s="2"/>
    </row>
    <row r="11">
      <c r="A11" s="2"/>
      <c r="B11" s="35"/>
      <c r="C11" s="52"/>
      <c r="D11" s="2"/>
      <c r="E11" s="2"/>
      <c r="F11" s="2"/>
      <c r="G11" s="2"/>
      <c r="H11" s="2"/>
      <c r="I11" s="2"/>
      <c r="J11" s="2"/>
      <c r="K11" s="2"/>
      <c r="L11" s="36" t="s">
        <v>28</v>
      </c>
      <c r="M11" s="3"/>
      <c r="N11" s="37">
        <v>1.0</v>
      </c>
      <c r="O11" s="38"/>
      <c r="P11" s="39" t="s">
        <v>24</v>
      </c>
      <c r="Q11" s="33"/>
      <c r="R11" s="41" t="s">
        <v>39</v>
      </c>
      <c r="S11" s="2"/>
      <c r="T11" s="2"/>
      <c r="U11" s="2"/>
      <c r="V11" s="2"/>
      <c r="W11" s="2"/>
      <c r="X11" s="2"/>
      <c r="Y11" s="2"/>
    </row>
    <row r="12">
      <c r="A12" s="2"/>
      <c r="B12" s="35"/>
      <c r="C12" s="52"/>
      <c r="D12" s="2"/>
      <c r="E12" s="2"/>
      <c r="F12" s="2"/>
      <c r="G12" s="2"/>
      <c r="H12" s="2"/>
      <c r="I12" s="2"/>
      <c r="J12" s="2"/>
      <c r="K12" s="2"/>
      <c r="L12" s="36" t="s">
        <v>28</v>
      </c>
      <c r="M12" s="3"/>
      <c r="N12" s="37">
        <v>1.0</v>
      </c>
      <c r="O12" s="38"/>
      <c r="P12" s="39" t="s">
        <v>24</v>
      </c>
      <c r="Q12" s="33"/>
      <c r="R12" s="41" t="s">
        <v>40</v>
      </c>
      <c r="S12" s="2"/>
      <c r="T12" s="2"/>
      <c r="U12" s="2"/>
      <c r="V12" s="2"/>
      <c r="W12" s="2"/>
      <c r="X12" s="2"/>
      <c r="Y12" s="2"/>
    </row>
    <row r="13">
      <c r="A13" s="2"/>
      <c r="B13" s="35"/>
      <c r="C13" s="52"/>
      <c r="D13" s="2"/>
      <c r="E13" s="2"/>
      <c r="F13" s="2"/>
      <c r="G13" s="2"/>
      <c r="H13" s="2"/>
      <c r="I13" s="2"/>
      <c r="J13" s="2"/>
      <c r="K13" s="2"/>
      <c r="L13" s="36" t="s">
        <v>28</v>
      </c>
      <c r="M13" s="3"/>
      <c r="N13" s="37">
        <v>10.0</v>
      </c>
      <c r="O13" s="38"/>
      <c r="P13" s="39" t="s">
        <v>24</v>
      </c>
      <c r="Q13" s="33"/>
      <c r="R13" s="41" t="s">
        <v>41</v>
      </c>
      <c r="S13" s="2"/>
      <c r="T13" s="2"/>
      <c r="U13" s="2"/>
      <c r="V13" s="2"/>
      <c r="W13" s="2"/>
      <c r="X13" s="2"/>
      <c r="Y13" s="2"/>
    </row>
    <row r="14">
      <c r="A14" s="2"/>
      <c r="B14" s="35"/>
      <c r="C14" s="52"/>
      <c r="D14" s="2"/>
      <c r="E14" s="2"/>
      <c r="F14" s="2"/>
      <c r="G14" s="2"/>
      <c r="H14" s="2"/>
      <c r="I14" s="2"/>
      <c r="J14" s="2"/>
      <c r="K14" s="2"/>
      <c r="L14" s="36" t="s">
        <v>28</v>
      </c>
      <c r="M14" s="3"/>
      <c r="N14" s="37">
        <v>1.0</v>
      </c>
      <c r="O14" s="38"/>
      <c r="P14" s="39" t="s">
        <v>24</v>
      </c>
      <c r="Q14" s="33"/>
      <c r="R14" s="41" t="s">
        <v>42</v>
      </c>
      <c r="S14" s="2"/>
      <c r="T14" s="2"/>
      <c r="U14" s="2"/>
      <c r="V14" s="2"/>
      <c r="W14" s="2"/>
      <c r="X14" s="2"/>
      <c r="Y14" s="2"/>
    </row>
    <row r="15">
      <c r="A15" s="2"/>
      <c r="B15" s="35"/>
      <c r="C15" s="52"/>
      <c r="D15" s="2"/>
      <c r="E15" s="2"/>
      <c r="F15" s="2"/>
      <c r="G15" s="2"/>
      <c r="H15" s="2"/>
      <c r="I15" s="2"/>
      <c r="J15" s="2"/>
      <c r="K15" s="2"/>
      <c r="L15" s="36" t="s">
        <v>28</v>
      </c>
      <c r="M15" s="3"/>
      <c r="N15" s="37">
        <v>1.0</v>
      </c>
      <c r="O15" s="38"/>
      <c r="P15" s="39" t="s">
        <v>24</v>
      </c>
      <c r="Q15" s="33"/>
      <c r="R15" s="41" t="s">
        <v>43</v>
      </c>
      <c r="S15" s="2"/>
      <c r="T15" s="2"/>
      <c r="U15" s="2"/>
      <c r="V15" s="2"/>
      <c r="W15" s="2"/>
      <c r="X15" s="2"/>
      <c r="Y15" s="2"/>
    </row>
    <row r="16">
      <c r="A16" s="2"/>
      <c r="B16" s="35"/>
      <c r="C16" s="52"/>
      <c r="D16" s="2"/>
      <c r="E16" s="2"/>
      <c r="F16" s="2"/>
      <c r="G16" s="2"/>
      <c r="H16" s="2"/>
      <c r="I16" s="2"/>
      <c r="J16" s="2"/>
      <c r="K16" s="2"/>
      <c r="L16" s="36" t="s">
        <v>28</v>
      </c>
      <c r="M16" s="3"/>
      <c r="N16" s="37">
        <v>1.0</v>
      </c>
      <c r="O16" s="38"/>
      <c r="P16" s="39" t="s">
        <v>24</v>
      </c>
      <c r="Q16" s="33"/>
      <c r="R16" s="41" t="s">
        <v>44</v>
      </c>
      <c r="S16" s="2"/>
      <c r="T16" s="2"/>
      <c r="U16" s="2"/>
      <c r="V16" s="2"/>
      <c r="W16" s="2"/>
      <c r="X16" s="2"/>
      <c r="Y16" s="2"/>
    </row>
    <row r="17">
      <c r="A17" s="2"/>
      <c r="B17" s="35"/>
      <c r="C17" s="52"/>
      <c r="D17" s="2"/>
      <c r="E17" s="2"/>
      <c r="F17" s="2"/>
      <c r="G17" s="2"/>
      <c r="H17" s="2"/>
      <c r="I17" s="2"/>
      <c r="J17" s="2"/>
      <c r="K17" s="2"/>
      <c r="L17" s="36" t="s">
        <v>28</v>
      </c>
      <c r="M17" s="3"/>
      <c r="N17" s="37"/>
      <c r="O17" s="38"/>
      <c r="P17" s="39" t="s">
        <v>24</v>
      </c>
      <c r="Q17" s="33"/>
      <c r="R17" s="57" t="s">
        <v>45</v>
      </c>
      <c r="S17" s="2"/>
      <c r="T17" s="2"/>
      <c r="U17" s="2"/>
      <c r="V17" s="2"/>
      <c r="W17" s="2"/>
      <c r="X17" s="2"/>
      <c r="Y17" s="2"/>
    </row>
    <row r="18">
      <c r="A18" s="2"/>
      <c r="B18" s="35"/>
      <c r="C18" s="52"/>
      <c r="D18" s="2"/>
      <c r="E18" s="2"/>
      <c r="F18" s="2"/>
      <c r="G18" s="2"/>
      <c r="H18" s="2"/>
      <c r="I18" s="2"/>
      <c r="J18" s="2"/>
      <c r="K18" s="2"/>
      <c r="L18" s="36" t="s">
        <v>28</v>
      </c>
      <c r="M18" s="3"/>
      <c r="N18" s="37">
        <v>1.0</v>
      </c>
      <c r="O18" s="38"/>
      <c r="P18" s="39" t="s">
        <v>24</v>
      </c>
      <c r="Q18" s="33"/>
      <c r="R18" s="41" t="s">
        <v>46</v>
      </c>
      <c r="S18" s="2"/>
      <c r="T18" s="2"/>
      <c r="U18" s="2"/>
      <c r="V18" s="2"/>
      <c r="W18" s="2"/>
      <c r="X18" s="2"/>
      <c r="Y18" s="2"/>
    </row>
    <row r="19">
      <c r="A19" s="2"/>
      <c r="B19" s="35"/>
      <c r="C19" s="52"/>
      <c r="D19" s="2"/>
      <c r="E19" s="2"/>
      <c r="F19" s="2"/>
      <c r="G19" s="2"/>
      <c r="H19" s="2"/>
      <c r="I19" s="2"/>
      <c r="J19" s="2"/>
      <c r="K19" s="2"/>
      <c r="L19" s="36" t="s">
        <v>28</v>
      </c>
      <c r="M19" s="3"/>
      <c r="N19" s="37">
        <v>1.0</v>
      </c>
      <c r="O19" s="38"/>
      <c r="P19" s="39" t="s">
        <v>24</v>
      </c>
      <c r="Q19" s="33"/>
      <c r="R19" s="41" t="s">
        <v>47</v>
      </c>
      <c r="S19" s="2"/>
      <c r="T19" s="2"/>
      <c r="U19" s="2"/>
      <c r="V19" s="2"/>
      <c r="W19" s="2"/>
      <c r="X19" s="2"/>
      <c r="Y19" s="2"/>
    </row>
    <row r="20">
      <c r="A20" s="2"/>
      <c r="B20" s="35"/>
      <c r="C20" s="52"/>
      <c r="D20" s="2"/>
      <c r="E20" s="2"/>
      <c r="F20" s="2"/>
      <c r="G20" s="2"/>
      <c r="H20" s="2"/>
      <c r="I20" s="2"/>
      <c r="J20" s="2"/>
      <c r="K20" s="2"/>
      <c r="L20" s="36" t="s">
        <v>28</v>
      </c>
      <c r="M20" s="3"/>
      <c r="N20" s="58"/>
      <c r="O20" s="38"/>
      <c r="P20" s="39" t="s">
        <v>24</v>
      </c>
      <c r="Q20" s="33"/>
      <c r="R20" s="59" t="s">
        <v>48</v>
      </c>
      <c r="S20" s="2"/>
      <c r="T20" s="2"/>
      <c r="U20" s="2"/>
      <c r="V20" s="2"/>
      <c r="W20" s="2"/>
      <c r="X20" s="2"/>
      <c r="Y20" s="2"/>
    </row>
    <row r="21">
      <c r="A21" s="2"/>
      <c r="B21" s="35"/>
      <c r="C21" s="52"/>
      <c r="D21" s="2"/>
      <c r="E21" s="2"/>
      <c r="F21" s="2"/>
      <c r="G21" s="2"/>
      <c r="H21" s="2"/>
      <c r="I21" s="2"/>
      <c r="J21" s="2"/>
      <c r="K21" s="2"/>
      <c r="L21" s="36" t="s">
        <v>28</v>
      </c>
      <c r="M21" s="3"/>
      <c r="N21" s="58"/>
      <c r="O21" s="38"/>
      <c r="P21" s="39" t="s">
        <v>24</v>
      </c>
      <c r="Q21" s="33"/>
      <c r="R21" s="59" t="s">
        <v>49</v>
      </c>
      <c r="S21" s="2"/>
      <c r="T21" s="2"/>
      <c r="U21" s="2"/>
      <c r="V21" s="2"/>
      <c r="W21" s="2"/>
      <c r="X21" s="2"/>
      <c r="Y21" s="2"/>
    </row>
    <row r="22">
      <c r="A22" s="2"/>
      <c r="B22" s="35"/>
      <c r="C22" s="52"/>
      <c r="D22" s="2"/>
      <c r="E22" s="2"/>
      <c r="F22" s="2"/>
      <c r="G22" s="2"/>
      <c r="H22" s="2"/>
      <c r="I22" s="2"/>
      <c r="J22" s="2"/>
      <c r="K22" s="2"/>
      <c r="L22" s="36" t="s">
        <v>28</v>
      </c>
      <c r="M22" s="3"/>
      <c r="N22" s="58"/>
      <c r="O22" s="38">
        <v>11.29</v>
      </c>
      <c r="P22" s="39" t="s">
        <v>24</v>
      </c>
      <c r="Q22" s="33" t="s">
        <v>50</v>
      </c>
      <c r="R22" s="41" t="s">
        <v>51</v>
      </c>
      <c r="S22" s="2"/>
      <c r="T22" s="2"/>
      <c r="U22" s="2"/>
      <c r="V22" s="2"/>
      <c r="W22" s="2"/>
      <c r="X22" s="2"/>
      <c r="Y22" s="2"/>
    </row>
    <row r="23">
      <c r="A23" s="2"/>
      <c r="B23" s="35"/>
      <c r="C23" s="52"/>
      <c r="D23" s="2"/>
      <c r="E23" s="2"/>
      <c r="F23" s="2"/>
      <c r="G23" s="2"/>
      <c r="H23" s="2"/>
      <c r="I23" s="2"/>
      <c r="J23" s="2"/>
      <c r="K23" s="2"/>
      <c r="L23" s="36" t="s">
        <v>28</v>
      </c>
      <c r="M23" s="3"/>
      <c r="N23" s="58"/>
      <c r="O23" s="38">
        <v>10.77</v>
      </c>
      <c r="P23" s="39" t="s">
        <v>24</v>
      </c>
      <c r="Q23" s="33"/>
      <c r="R23" s="41" t="s">
        <v>52</v>
      </c>
      <c r="S23" s="2"/>
      <c r="T23" s="2"/>
      <c r="U23" s="2"/>
      <c r="V23" s="2"/>
      <c r="W23" s="2"/>
      <c r="X23" s="2"/>
      <c r="Y23" s="2"/>
    </row>
    <row r="24">
      <c r="A24" s="2"/>
      <c r="B24" s="35"/>
      <c r="C24" s="52"/>
      <c r="D24" s="2"/>
      <c r="E24" s="2"/>
      <c r="F24" s="2"/>
      <c r="G24" s="2"/>
      <c r="H24" s="2"/>
      <c r="I24" s="2"/>
      <c r="J24" s="2"/>
      <c r="K24" s="2"/>
      <c r="L24" s="36" t="s">
        <v>28</v>
      </c>
      <c r="M24" s="3"/>
      <c r="N24" s="58"/>
      <c r="O24" s="38">
        <v>7.38</v>
      </c>
      <c r="P24" s="39" t="s">
        <v>24</v>
      </c>
      <c r="Q24" s="33"/>
      <c r="R24" s="41" t="s">
        <v>53</v>
      </c>
      <c r="S24" s="2"/>
      <c r="T24" s="2"/>
      <c r="U24" s="2"/>
      <c r="V24" s="2"/>
      <c r="W24" s="2"/>
      <c r="X24" s="2"/>
      <c r="Y24" s="2"/>
    </row>
    <row r="25">
      <c r="A25" s="2"/>
      <c r="B25" s="35"/>
      <c r="C25" s="52"/>
      <c r="D25" s="2"/>
      <c r="E25" s="2"/>
      <c r="F25" s="2"/>
      <c r="G25" s="2"/>
      <c r="H25" s="2"/>
      <c r="I25" s="2"/>
      <c r="J25" s="2"/>
      <c r="K25" s="2"/>
      <c r="L25" s="36" t="s">
        <v>28</v>
      </c>
      <c r="M25" s="3"/>
      <c r="N25" s="58"/>
      <c r="O25" s="38">
        <v>9.44</v>
      </c>
      <c r="P25" s="39" t="s">
        <v>24</v>
      </c>
      <c r="Q25" s="33"/>
      <c r="R25" s="41" t="s">
        <v>54</v>
      </c>
      <c r="S25" s="2"/>
      <c r="T25" s="2"/>
      <c r="U25" s="2"/>
      <c r="V25" s="2"/>
      <c r="W25" s="2"/>
      <c r="X25" s="2"/>
      <c r="Y25" s="2"/>
    </row>
    <row r="26">
      <c r="A26" s="2"/>
      <c r="B26" s="35"/>
      <c r="C26" s="52"/>
      <c r="D26" s="2"/>
      <c r="E26" s="2"/>
      <c r="F26" s="2"/>
      <c r="G26" s="2"/>
      <c r="H26" s="2"/>
      <c r="I26" s="2"/>
      <c r="J26" s="2"/>
      <c r="K26" s="2"/>
      <c r="L26" s="36" t="s">
        <v>28</v>
      </c>
      <c r="M26" s="3"/>
      <c r="N26" s="58"/>
      <c r="O26" s="38">
        <v>7.07</v>
      </c>
      <c r="P26" s="39" t="s">
        <v>24</v>
      </c>
      <c r="Q26" s="33"/>
      <c r="R26" s="41" t="s">
        <v>55</v>
      </c>
      <c r="S26" s="2"/>
      <c r="T26" s="2"/>
      <c r="U26" s="2"/>
      <c r="V26" s="2"/>
      <c r="W26" s="2"/>
      <c r="X26" s="2"/>
      <c r="Y26" s="2"/>
    </row>
    <row r="27">
      <c r="A27" s="2"/>
      <c r="B27" s="35"/>
      <c r="C27" s="52"/>
      <c r="D27" s="2"/>
      <c r="E27" s="2"/>
      <c r="F27" s="2"/>
      <c r="G27" s="2"/>
      <c r="H27" s="2"/>
      <c r="I27" s="2"/>
      <c r="J27" s="2"/>
      <c r="K27" s="2"/>
      <c r="L27" s="36" t="s">
        <v>28</v>
      </c>
      <c r="M27" s="3"/>
      <c r="N27" s="58"/>
      <c r="O27" s="38">
        <v>11.16</v>
      </c>
      <c r="P27" s="39" t="s">
        <v>24</v>
      </c>
      <c r="Q27" s="33"/>
      <c r="R27" s="41" t="s">
        <v>56</v>
      </c>
      <c r="S27" s="2"/>
      <c r="T27" s="2"/>
      <c r="U27" s="2"/>
      <c r="V27" s="2"/>
      <c r="W27" s="2"/>
      <c r="X27" s="2"/>
      <c r="Y27" s="2"/>
    </row>
    <row r="28">
      <c r="A28" s="2"/>
      <c r="B28" s="35"/>
      <c r="C28" s="52"/>
      <c r="D28" s="2"/>
      <c r="E28" s="2"/>
      <c r="F28" s="2"/>
      <c r="G28" s="2"/>
      <c r="H28" s="2"/>
      <c r="I28" s="2"/>
      <c r="J28" s="2"/>
      <c r="K28" s="2"/>
      <c r="L28" s="36" t="s">
        <v>28</v>
      </c>
      <c r="M28" s="3"/>
      <c r="N28" s="58"/>
      <c r="O28" s="38"/>
      <c r="P28" s="39" t="s">
        <v>24</v>
      </c>
      <c r="Q28" s="33"/>
      <c r="R28" s="59" t="s">
        <v>57</v>
      </c>
      <c r="S28" s="2"/>
      <c r="T28" s="2"/>
      <c r="U28" s="2"/>
      <c r="V28" s="2"/>
      <c r="W28" s="2"/>
      <c r="X28" s="2"/>
      <c r="Y28" s="2"/>
    </row>
    <row r="29">
      <c r="A29" s="2"/>
      <c r="B29" s="35"/>
      <c r="C29" s="52"/>
      <c r="D29" s="2"/>
      <c r="E29" s="2"/>
      <c r="F29" s="2"/>
      <c r="G29" s="2"/>
      <c r="H29" s="2"/>
      <c r="I29" s="2"/>
      <c r="J29" s="2"/>
      <c r="K29" s="2"/>
      <c r="L29" s="43" t="s">
        <v>32</v>
      </c>
      <c r="M29" s="60">
        <v>45931.0</v>
      </c>
      <c r="N29" s="61">
        <v>1.0</v>
      </c>
      <c r="O29" s="45">
        <v>32.87</v>
      </c>
      <c r="P29" s="46" t="s">
        <v>58</v>
      </c>
      <c r="Q29" s="62"/>
      <c r="R29" s="41" t="s">
        <v>59</v>
      </c>
      <c r="S29" s="2"/>
      <c r="T29" s="2"/>
      <c r="U29" s="2"/>
      <c r="V29" s="2"/>
      <c r="W29" s="2"/>
      <c r="X29" s="2"/>
      <c r="Y29" s="2"/>
    </row>
    <row r="30">
      <c r="A30" s="2"/>
      <c r="B30" s="35"/>
      <c r="C30" s="52"/>
      <c r="D30" s="2"/>
      <c r="E30" s="2"/>
      <c r="F30" s="2"/>
      <c r="G30" s="2"/>
      <c r="H30" s="2"/>
      <c r="I30" s="2"/>
      <c r="J30" s="2"/>
      <c r="K30" s="2"/>
      <c r="L30" s="36" t="s">
        <v>32</v>
      </c>
      <c r="M30" s="60">
        <v>45931.0</v>
      </c>
      <c r="N30" s="37">
        <v>2.0</v>
      </c>
      <c r="O30" s="38">
        <v>2.51</v>
      </c>
      <c r="P30" s="46" t="s">
        <v>58</v>
      </c>
      <c r="Q30" s="33"/>
      <c r="R30" s="41" t="s">
        <v>60</v>
      </c>
      <c r="S30" s="2"/>
      <c r="T30" s="2"/>
      <c r="U30" s="2"/>
      <c r="V30" s="2"/>
      <c r="W30" s="2"/>
      <c r="X30" s="2"/>
      <c r="Y30" s="2"/>
    </row>
    <row r="31">
      <c r="A31" s="2"/>
      <c r="B31" s="35"/>
      <c r="C31" s="52"/>
      <c r="D31" s="2"/>
      <c r="E31" s="2"/>
      <c r="F31" s="2"/>
      <c r="G31" s="2"/>
      <c r="H31" s="2"/>
      <c r="I31" s="2"/>
      <c r="J31" s="2"/>
      <c r="K31" s="2"/>
      <c r="L31" s="36" t="s">
        <v>32</v>
      </c>
      <c r="M31" s="60">
        <v>45937.0</v>
      </c>
      <c r="N31" s="37">
        <v>2.0</v>
      </c>
      <c r="O31" s="38">
        <v>8.39</v>
      </c>
      <c r="P31" s="46" t="s">
        <v>58</v>
      </c>
      <c r="Q31" s="2"/>
      <c r="R31" s="41" t="s">
        <v>61</v>
      </c>
      <c r="S31" s="2"/>
      <c r="T31" s="2"/>
      <c r="U31" s="2"/>
      <c r="V31" s="2"/>
      <c r="W31" s="2"/>
      <c r="X31" s="2"/>
      <c r="Y31" s="2"/>
    </row>
    <row r="32">
      <c r="A32" s="2"/>
      <c r="B32" s="35"/>
      <c r="C32" s="52"/>
      <c r="D32" s="2"/>
      <c r="E32" s="2"/>
      <c r="F32" s="2"/>
      <c r="G32" s="2"/>
      <c r="H32" s="2"/>
      <c r="I32" s="2"/>
      <c r="J32" s="2"/>
      <c r="K32" s="2"/>
      <c r="L32" s="36" t="s">
        <v>32</v>
      </c>
      <c r="M32" s="60">
        <v>45960.0</v>
      </c>
      <c r="N32" s="37">
        <v>1.0</v>
      </c>
      <c r="O32" s="38">
        <v>21.97</v>
      </c>
      <c r="P32" s="39" t="s">
        <v>58</v>
      </c>
      <c r="Q32" s="63"/>
      <c r="R32" s="41" t="s">
        <v>62</v>
      </c>
      <c r="S32" s="2"/>
      <c r="T32" s="2"/>
      <c r="U32" s="2"/>
      <c r="V32" s="2"/>
      <c r="W32" s="2"/>
      <c r="X32" s="2"/>
      <c r="Y32" s="2"/>
    </row>
    <row r="33">
      <c r="A33" s="2"/>
      <c r="B33" s="35"/>
      <c r="C33" s="52"/>
      <c r="D33" s="2"/>
      <c r="E33" s="2"/>
      <c r="F33" s="2"/>
      <c r="G33" s="2"/>
      <c r="H33" s="2"/>
      <c r="I33" s="2"/>
      <c r="J33" s="2"/>
      <c r="K33" s="2"/>
      <c r="L33" s="36" t="s">
        <v>32</v>
      </c>
      <c r="M33" s="60"/>
      <c r="N33" s="37"/>
      <c r="O33" s="22"/>
      <c r="P33" s="39"/>
      <c r="Q33" s="63"/>
      <c r="R33" s="59"/>
      <c r="S33" s="2"/>
      <c r="T33" s="2"/>
      <c r="U33" s="2"/>
      <c r="V33" s="2"/>
      <c r="W33" s="2"/>
      <c r="X33" s="2"/>
      <c r="Y33" s="2"/>
    </row>
    <row r="34">
      <c r="A34" s="2"/>
      <c r="B34" s="35"/>
      <c r="C34" s="52"/>
      <c r="D34" s="2"/>
      <c r="E34" s="2"/>
      <c r="F34" s="2"/>
      <c r="G34" s="2"/>
      <c r="H34" s="2"/>
      <c r="I34" s="2"/>
      <c r="J34" s="2"/>
      <c r="K34" s="2"/>
      <c r="L34" s="64"/>
      <c r="M34" s="60"/>
      <c r="N34" s="58"/>
      <c r="O34" s="4"/>
      <c r="P34" s="65"/>
      <c r="Q34" s="2"/>
      <c r="R34" s="65"/>
      <c r="S34" s="2"/>
      <c r="T34" s="2"/>
      <c r="U34" s="2"/>
      <c r="V34" s="2"/>
      <c r="W34" s="2"/>
      <c r="X34" s="2"/>
      <c r="Y34" s="2"/>
    </row>
    <row r="35">
      <c r="A35" s="2"/>
      <c r="B35" s="35"/>
      <c r="C35" s="52"/>
      <c r="D35" s="2"/>
      <c r="E35" s="2"/>
      <c r="F35" s="2"/>
      <c r="G35" s="2"/>
      <c r="H35" s="2"/>
      <c r="I35" s="2"/>
      <c r="J35" s="2"/>
      <c r="K35" s="2"/>
      <c r="L35" s="36" t="s">
        <v>28</v>
      </c>
      <c r="M35" s="60">
        <v>45946.0</v>
      </c>
      <c r="N35" s="58"/>
      <c r="O35" s="22">
        <v>259.3</v>
      </c>
      <c r="P35" s="59" t="s">
        <v>58</v>
      </c>
      <c r="Q35" s="2"/>
      <c r="R35" s="59" t="s">
        <v>63</v>
      </c>
      <c r="S35" s="2"/>
      <c r="T35" s="2"/>
      <c r="U35" s="2"/>
      <c r="V35" s="2"/>
      <c r="W35" s="2"/>
      <c r="X35" s="2"/>
      <c r="Y35" s="2"/>
    </row>
    <row r="36">
      <c r="A36" s="2"/>
      <c r="B36" s="35"/>
      <c r="C36" s="52"/>
      <c r="D36" s="2"/>
      <c r="E36" s="2"/>
      <c r="F36" s="2"/>
      <c r="G36" s="2"/>
      <c r="H36" s="2"/>
      <c r="I36" s="2"/>
      <c r="J36" s="2"/>
      <c r="K36" s="2"/>
      <c r="L36" s="36" t="s">
        <v>28</v>
      </c>
      <c r="M36" s="60">
        <v>45956.0</v>
      </c>
      <c r="N36" s="58"/>
      <c r="O36" s="22">
        <v>80.55</v>
      </c>
      <c r="P36" s="59" t="s">
        <v>58</v>
      </c>
      <c r="Q36" s="2"/>
      <c r="R36" s="59" t="s">
        <v>63</v>
      </c>
      <c r="S36" s="2"/>
      <c r="T36" s="2"/>
      <c r="U36" s="2"/>
      <c r="V36" s="2"/>
      <c r="W36" s="2"/>
      <c r="X36" s="2"/>
      <c r="Y36" s="2"/>
    </row>
    <row r="37">
      <c r="A37" s="2"/>
      <c r="B37" s="35"/>
      <c r="C37" s="52"/>
      <c r="D37" s="2"/>
      <c r="E37" s="2"/>
      <c r="F37" s="2"/>
      <c r="G37" s="2"/>
      <c r="H37" s="2"/>
      <c r="I37" s="2"/>
      <c r="J37" s="2"/>
      <c r="K37" s="2"/>
      <c r="L37" s="36" t="s">
        <v>28</v>
      </c>
      <c r="M37" s="60">
        <v>45957.0</v>
      </c>
      <c r="N37" s="58"/>
      <c r="O37" s="22">
        <v>12.07</v>
      </c>
      <c r="P37" s="59" t="s">
        <v>58</v>
      </c>
      <c r="Q37" s="2"/>
      <c r="R37" s="59" t="s">
        <v>63</v>
      </c>
      <c r="S37" s="2"/>
      <c r="T37" s="2"/>
      <c r="U37" s="2"/>
      <c r="V37" s="2"/>
      <c r="W37" s="2"/>
      <c r="X37" s="2"/>
      <c r="Y37" s="2"/>
    </row>
    <row r="38">
      <c r="A38" s="2"/>
      <c r="B38" s="35"/>
      <c r="C38" s="52"/>
      <c r="D38" s="2"/>
      <c r="E38" s="2"/>
      <c r="F38" s="2"/>
      <c r="G38" s="2"/>
      <c r="H38" s="2"/>
      <c r="I38" s="2"/>
      <c r="J38" s="2"/>
      <c r="K38" s="2"/>
      <c r="L38" s="36" t="s">
        <v>28</v>
      </c>
      <c r="M38" s="60">
        <v>45961.0</v>
      </c>
      <c r="N38" s="58"/>
      <c r="O38" s="22">
        <v>1.35</v>
      </c>
      <c r="P38" s="59" t="s">
        <v>58</v>
      </c>
      <c r="Q38" s="2"/>
      <c r="R38" s="59" t="s">
        <v>63</v>
      </c>
      <c r="S38" s="2"/>
      <c r="T38" s="2"/>
      <c r="U38" s="2"/>
      <c r="V38" s="2"/>
      <c r="W38" s="2"/>
      <c r="X38" s="2"/>
      <c r="Y38" s="2"/>
    </row>
    <row r="39">
      <c r="A39" s="2"/>
      <c r="B39" s="35"/>
      <c r="C39" s="2"/>
      <c r="D39" s="2"/>
      <c r="E39" s="2"/>
      <c r="F39" s="2"/>
      <c r="G39" s="2"/>
      <c r="H39" s="2"/>
      <c r="I39" s="2"/>
      <c r="J39" s="2"/>
      <c r="K39" s="2"/>
      <c r="L39" s="64"/>
      <c r="M39" s="3"/>
      <c r="N39" s="58"/>
      <c r="O39" s="4"/>
      <c r="P39" s="65"/>
      <c r="Q39" s="2"/>
      <c r="R39" s="65"/>
      <c r="S39" s="2"/>
      <c r="T39" s="2"/>
      <c r="U39" s="2"/>
      <c r="V39" s="2"/>
      <c r="W39" s="2"/>
      <c r="X39" s="2"/>
      <c r="Y39" s="2"/>
    </row>
    <row r="40">
      <c r="A40" s="2"/>
      <c r="B40" s="35"/>
      <c r="C40" s="2"/>
      <c r="D40" s="2"/>
      <c r="E40" s="2"/>
      <c r="F40" s="2"/>
      <c r="G40" s="2"/>
      <c r="H40" s="2"/>
      <c r="I40" s="2"/>
      <c r="J40" s="2"/>
      <c r="K40" s="2"/>
      <c r="L40" s="64"/>
      <c r="M40" s="3"/>
      <c r="N40" s="58"/>
      <c r="O40" s="4"/>
      <c r="P40" s="65"/>
      <c r="Q40" s="2"/>
      <c r="R40" s="65"/>
      <c r="S40" s="2"/>
      <c r="T40" s="2"/>
      <c r="U40" s="2"/>
      <c r="V40" s="2"/>
      <c r="W40" s="2"/>
      <c r="X40" s="2"/>
      <c r="Y40" s="2"/>
    </row>
    <row r="41">
      <c r="A41" s="2"/>
      <c r="B41" s="35"/>
      <c r="C41" s="2"/>
      <c r="D41" s="2"/>
      <c r="E41" s="2"/>
      <c r="F41" s="2"/>
      <c r="G41" s="2"/>
      <c r="H41" s="2"/>
      <c r="I41" s="2"/>
      <c r="J41" s="2"/>
      <c r="K41" s="2"/>
      <c r="L41" s="64"/>
      <c r="M41" s="3"/>
      <c r="N41" s="58"/>
      <c r="O41" s="4"/>
      <c r="P41" s="65"/>
      <c r="Q41" s="2"/>
      <c r="R41" s="65"/>
      <c r="S41" s="2"/>
      <c r="T41" s="2"/>
      <c r="U41" s="2"/>
      <c r="V41" s="2"/>
      <c r="W41" s="2"/>
      <c r="X41" s="2"/>
      <c r="Y41" s="2"/>
    </row>
    <row r="42">
      <c r="A42" s="2"/>
      <c r="B42" s="35"/>
      <c r="C42" s="2"/>
      <c r="D42" s="2"/>
      <c r="E42" s="2"/>
      <c r="F42" s="2"/>
      <c r="G42" s="2"/>
      <c r="H42" s="2"/>
      <c r="I42" s="2"/>
      <c r="J42" s="2"/>
      <c r="K42" s="2"/>
      <c r="L42" s="64"/>
      <c r="M42" s="3"/>
      <c r="N42" s="58"/>
      <c r="O42" s="4"/>
      <c r="P42" s="65"/>
      <c r="Q42" s="2"/>
      <c r="R42" s="65"/>
      <c r="S42" s="2"/>
      <c r="T42" s="2"/>
      <c r="U42" s="2"/>
      <c r="V42" s="2"/>
      <c r="W42" s="2"/>
      <c r="X42" s="2"/>
      <c r="Y42" s="2"/>
    </row>
    <row r="43">
      <c r="A43" s="2"/>
      <c r="B43" s="35"/>
      <c r="C43" s="2"/>
      <c r="D43" s="2"/>
      <c r="E43" s="2"/>
      <c r="F43" s="2"/>
      <c r="G43" s="2"/>
      <c r="H43" s="2"/>
      <c r="I43" s="2"/>
      <c r="J43" s="2"/>
      <c r="K43" s="2"/>
      <c r="L43" s="64"/>
      <c r="M43" s="66"/>
      <c r="N43" s="58"/>
      <c r="O43" s="4"/>
      <c r="P43" s="65"/>
      <c r="Q43" s="2"/>
      <c r="R43" s="65"/>
      <c r="S43" s="2"/>
      <c r="T43" s="2"/>
      <c r="U43" s="2"/>
      <c r="V43" s="2"/>
      <c r="W43" s="2"/>
      <c r="X43" s="2"/>
      <c r="Y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64"/>
      <c r="M44" s="3"/>
      <c r="N44" s="58"/>
      <c r="O44" s="4"/>
      <c r="P44" s="65"/>
      <c r="Q44" s="2"/>
      <c r="R44" s="65"/>
      <c r="S44" s="2"/>
      <c r="T44" s="2"/>
      <c r="U44" s="2"/>
      <c r="V44" s="2"/>
      <c r="W44" s="2"/>
      <c r="X44" s="2"/>
      <c r="Y44" s="2"/>
    </row>
    <row r="45">
      <c r="A45" s="2"/>
      <c r="B45" s="35"/>
      <c r="C45" s="2"/>
      <c r="D45" s="2"/>
      <c r="E45" s="2"/>
      <c r="F45" s="2"/>
      <c r="G45" s="2"/>
      <c r="H45" s="2"/>
      <c r="I45" s="2"/>
      <c r="J45" s="2"/>
      <c r="K45" s="2"/>
      <c r="L45" s="64"/>
      <c r="M45" s="3"/>
      <c r="N45" s="58"/>
      <c r="O45" s="4"/>
      <c r="P45" s="65"/>
      <c r="Q45" s="2"/>
      <c r="R45" s="65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64"/>
      <c r="M46" s="3"/>
      <c r="N46" s="58"/>
      <c r="O46" s="4"/>
      <c r="P46" s="65"/>
      <c r="Q46" s="2"/>
      <c r="R46" s="65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64"/>
      <c r="M47" s="3"/>
      <c r="N47" s="58"/>
      <c r="O47" s="4"/>
      <c r="P47" s="65"/>
      <c r="Q47" s="2"/>
      <c r="R47" s="65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64"/>
      <c r="M48" s="3"/>
      <c r="N48" s="58"/>
      <c r="O48" s="4"/>
      <c r="P48" s="65"/>
      <c r="Q48" s="2"/>
      <c r="R48" s="65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64"/>
      <c r="M49" s="3"/>
      <c r="N49" s="58"/>
      <c r="O49" s="4"/>
      <c r="P49" s="65"/>
      <c r="Q49" s="2"/>
      <c r="R49" s="65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64"/>
      <c r="M50" s="3"/>
      <c r="N50" s="58"/>
      <c r="O50" s="4"/>
      <c r="P50" s="65"/>
      <c r="Q50" s="2"/>
      <c r="R50" s="65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64"/>
      <c r="M51" s="66"/>
      <c r="N51" s="58"/>
      <c r="O51" s="4"/>
      <c r="P51" s="65"/>
      <c r="Q51" s="2"/>
      <c r="R51" s="65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64"/>
      <c r="M52" s="3"/>
      <c r="N52" s="2"/>
      <c r="O52" s="4"/>
      <c r="P52" s="65"/>
      <c r="Q52" s="2"/>
      <c r="R52" s="65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64"/>
      <c r="M53" s="58"/>
      <c r="N53" s="2"/>
      <c r="O53" s="2"/>
      <c r="P53" s="65"/>
      <c r="Q53" s="2"/>
      <c r="R53" s="65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64"/>
      <c r="M54" s="58"/>
      <c r="N54" s="2"/>
      <c r="O54" s="2"/>
      <c r="P54" s="65"/>
      <c r="Q54" s="2"/>
      <c r="R54" s="65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64"/>
      <c r="M55" s="58"/>
      <c r="N55" s="2"/>
      <c r="O55" s="2"/>
      <c r="P55" s="65"/>
      <c r="Q55" s="2"/>
      <c r="R55" s="65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64"/>
      <c r="M56" s="58"/>
      <c r="N56" s="2"/>
      <c r="O56" s="2"/>
      <c r="P56" s="65"/>
      <c r="Q56" s="2"/>
      <c r="R56" s="65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64"/>
      <c r="M57" s="58"/>
      <c r="N57" s="2"/>
      <c r="O57" s="2"/>
      <c r="P57" s="65"/>
      <c r="Q57" s="2"/>
      <c r="R57" s="65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64"/>
      <c r="M58" s="58"/>
      <c r="N58" s="2"/>
      <c r="O58" s="2"/>
      <c r="P58" s="65"/>
      <c r="Q58" s="2"/>
      <c r="R58" s="65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64"/>
      <c r="M59" s="58"/>
      <c r="N59" s="2"/>
      <c r="O59" s="2"/>
      <c r="P59" s="65"/>
      <c r="Q59" s="2"/>
      <c r="R59" s="65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64"/>
      <c r="M60" s="58"/>
      <c r="N60" s="2"/>
      <c r="O60" s="2"/>
      <c r="P60" s="65"/>
      <c r="Q60" s="2"/>
      <c r="R60" s="65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64"/>
      <c r="M61" s="58"/>
      <c r="N61" s="2"/>
      <c r="O61" s="2"/>
      <c r="P61" s="65"/>
      <c r="Q61" s="2"/>
      <c r="R61" s="65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64"/>
      <c r="M62" s="58"/>
      <c r="N62" s="2"/>
      <c r="O62" s="2"/>
      <c r="P62" s="65"/>
      <c r="Q62" s="2"/>
      <c r="R62" s="65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64"/>
      <c r="M63" s="58"/>
      <c r="N63" s="2"/>
      <c r="O63" s="2"/>
      <c r="P63" s="65"/>
      <c r="Q63" s="2"/>
      <c r="R63" s="65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64"/>
      <c r="M64" s="58"/>
      <c r="N64" s="2"/>
      <c r="O64" s="2"/>
      <c r="P64" s="65"/>
      <c r="Q64" s="2"/>
      <c r="R64" s="65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64"/>
      <c r="M65" s="58"/>
      <c r="N65" s="2"/>
      <c r="O65" s="2"/>
      <c r="P65" s="65"/>
      <c r="Q65" s="2"/>
      <c r="R65" s="65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64"/>
      <c r="M66" s="58"/>
      <c r="N66" s="2"/>
      <c r="O66" s="2"/>
      <c r="P66" s="65"/>
      <c r="Q66" s="2"/>
      <c r="R66" s="65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64"/>
      <c r="M67" s="58"/>
      <c r="N67" s="2"/>
      <c r="O67" s="2"/>
      <c r="P67" s="65"/>
      <c r="Q67" s="2"/>
      <c r="R67" s="65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64"/>
      <c r="M68" s="58"/>
      <c r="N68" s="2"/>
      <c r="O68" s="2"/>
      <c r="P68" s="65"/>
      <c r="Q68" s="2"/>
      <c r="R68" s="65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64"/>
      <c r="M69" s="58"/>
      <c r="N69" s="2"/>
      <c r="O69" s="2"/>
      <c r="P69" s="65"/>
      <c r="Q69" s="2"/>
      <c r="R69" s="65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64"/>
      <c r="M70" s="58"/>
      <c r="N70" s="2"/>
      <c r="O70" s="2"/>
      <c r="P70" s="65"/>
      <c r="Q70" s="2"/>
      <c r="R70" s="65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64"/>
      <c r="M71" s="58"/>
      <c r="N71" s="2"/>
      <c r="O71" s="2"/>
      <c r="P71" s="65"/>
      <c r="Q71" s="2"/>
      <c r="R71" s="65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64"/>
      <c r="M72" s="58"/>
      <c r="N72" s="2"/>
      <c r="O72" s="2"/>
      <c r="P72" s="65"/>
      <c r="Q72" s="2"/>
      <c r="R72" s="65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64"/>
      <c r="M73" s="58"/>
      <c r="N73" s="2"/>
      <c r="O73" s="2"/>
      <c r="P73" s="65"/>
      <c r="Q73" s="2"/>
      <c r="R73" s="65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64"/>
      <c r="M74" s="58"/>
      <c r="N74" s="2"/>
      <c r="O74" s="2"/>
      <c r="P74" s="65"/>
      <c r="Q74" s="2"/>
      <c r="R74" s="65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64"/>
      <c r="M75" s="58"/>
      <c r="N75" s="2"/>
      <c r="O75" s="2"/>
      <c r="P75" s="65"/>
      <c r="Q75" s="2"/>
      <c r="R75" s="65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64"/>
      <c r="M76" s="58"/>
      <c r="N76" s="2"/>
      <c r="O76" s="2"/>
      <c r="P76" s="65"/>
      <c r="Q76" s="2"/>
      <c r="R76" s="65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64"/>
      <c r="M77" s="58"/>
      <c r="N77" s="2"/>
      <c r="O77" s="2"/>
      <c r="P77" s="65"/>
      <c r="Q77" s="2"/>
      <c r="R77" s="65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64"/>
      <c r="M78" s="58"/>
      <c r="N78" s="2"/>
      <c r="O78" s="2"/>
      <c r="P78" s="65"/>
      <c r="Q78" s="2"/>
      <c r="R78" s="65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64"/>
      <c r="M79" s="58"/>
      <c r="N79" s="2"/>
      <c r="O79" s="2"/>
      <c r="P79" s="65"/>
      <c r="Q79" s="2"/>
      <c r="R79" s="65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64"/>
      <c r="M80" s="58"/>
      <c r="N80" s="2"/>
      <c r="O80" s="2"/>
      <c r="P80" s="65"/>
      <c r="Q80" s="2"/>
      <c r="R80" s="65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64"/>
      <c r="M81" s="58"/>
      <c r="N81" s="2"/>
      <c r="O81" s="2"/>
      <c r="P81" s="65"/>
      <c r="Q81" s="2"/>
      <c r="R81" s="65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64"/>
      <c r="M82" s="58"/>
      <c r="N82" s="2"/>
      <c r="O82" s="2"/>
      <c r="P82" s="65"/>
      <c r="Q82" s="2"/>
      <c r="R82" s="65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64"/>
      <c r="M83" s="58"/>
      <c r="N83" s="2"/>
      <c r="O83" s="2"/>
      <c r="P83" s="65"/>
      <c r="Q83" s="2"/>
      <c r="R83" s="65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64"/>
      <c r="M84" s="58"/>
      <c r="N84" s="2"/>
      <c r="O84" s="2"/>
      <c r="P84" s="65"/>
      <c r="Q84" s="2"/>
      <c r="R84" s="65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64"/>
      <c r="M85" s="58"/>
      <c r="N85" s="2"/>
      <c r="O85" s="2"/>
      <c r="P85" s="65"/>
      <c r="Q85" s="2"/>
      <c r="R85" s="65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64"/>
      <c r="M86" s="58"/>
      <c r="N86" s="2"/>
      <c r="O86" s="2"/>
      <c r="P86" s="65"/>
      <c r="Q86" s="2"/>
      <c r="R86" s="65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64"/>
      <c r="M87" s="58"/>
      <c r="N87" s="2"/>
      <c r="O87" s="2"/>
      <c r="P87" s="65"/>
      <c r="Q87" s="2"/>
      <c r="R87" s="65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64"/>
      <c r="M88" s="58"/>
      <c r="N88" s="2"/>
      <c r="O88" s="2"/>
      <c r="P88" s="65"/>
      <c r="Q88" s="2"/>
      <c r="R88" s="65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64"/>
      <c r="M89" s="58"/>
      <c r="N89" s="2"/>
      <c r="O89" s="2"/>
      <c r="P89" s="65"/>
      <c r="Q89" s="2"/>
      <c r="R89" s="65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64"/>
      <c r="M90" s="58"/>
      <c r="N90" s="2"/>
      <c r="O90" s="2"/>
      <c r="P90" s="65"/>
      <c r="Q90" s="2"/>
      <c r="R90" s="65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64"/>
      <c r="M91" s="58"/>
      <c r="N91" s="2"/>
      <c r="O91" s="2"/>
      <c r="P91" s="65"/>
      <c r="Q91" s="2"/>
      <c r="R91" s="65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64"/>
      <c r="M92" s="58"/>
      <c r="N92" s="2"/>
      <c r="O92" s="2"/>
      <c r="P92" s="65"/>
      <c r="Q92" s="2"/>
      <c r="R92" s="65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64"/>
      <c r="M93" s="58"/>
      <c r="N93" s="2"/>
      <c r="O93" s="2"/>
      <c r="P93" s="65"/>
      <c r="Q93" s="2"/>
      <c r="R93" s="65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64"/>
      <c r="M94" s="58"/>
      <c r="N94" s="2"/>
      <c r="O94" s="2"/>
      <c r="P94" s="65"/>
      <c r="Q94" s="2"/>
      <c r="R94" s="65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64"/>
      <c r="M95" s="58"/>
      <c r="N95" s="2"/>
      <c r="O95" s="2"/>
      <c r="P95" s="65"/>
      <c r="Q95" s="2"/>
      <c r="R95" s="65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64"/>
      <c r="M96" s="58"/>
      <c r="N96" s="2"/>
      <c r="O96" s="2"/>
      <c r="P96" s="65"/>
      <c r="Q96" s="2"/>
      <c r="R96" s="65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64"/>
      <c r="M97" s="58"/>
      <c r="N97" s="2"/>
      <c r="O97" s="2"/>
      <c r="P97" s="65"/>
      <c r="Q97" s="2"/>
      <c r="R97" s="65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64"/>
      <c r="M98" s="58"/>
      <c r="N98" s="2"/>
      <c r="O98" s="2"/>
      <c r="P98" s="65"/>
      <c r="Q98" s="2"/>
      <c r="R98" s="65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64"/>
      <c r="M99" s="58"/>
      <c r="N99" s="2"/>
      <c r="O99" s="2"/>
      <c r="P99" s="65"/>
      <c r="Q99" s="2"/>
      <c r="R99" s="65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64"/>
      <c r="M100" s="58"/>
      <c r="N100" s="2"/>
      <c r="O100" s="2"/>
      <c r="P100" s="65"/>
      <c r="Q100" s="2"/>
      <c r="R100" s="65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64"/>
      <c r="M101" s="58"/>
      <c r="N101" s="2"/>
      <c r="O101" s="2"/>
      <c r="P101" s="65"/>
      <c r="Q101" s="2"/>
      <c r="R101" s="65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64"/>
      <c r="M102" s="58"/>
      <c r="N102" s="2"/>
      <c r="O102" s="2"/>
      <c r="P102" s="65"/>
      <c r="Q102" s="2"/>
      <c r="R102" s="65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64"/>
      <c r="M103" s="58"/>
      <c r="N103" s="2"/>
      <c r="O103" s="2"/>
      <c r="P103" s="65"/>
      <c r="Q103" s="2"/>
      <c r="R103" s="65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64"/>
      <c r="M104" s="58"/>
      <c r="N104" s="2"/>
      <c r="O104" s="2"/>
      <c r="P104" s="65"/>
      <c r="Q104" s="2"/>
      <c r="R104" s="65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64"/>
      <c r="M105" s="58"/>
      <c r="N105" s="2"/>
      <c r="O105" s="2"/>
      <c r="P105" s="65"/>
      <c r="Q105" s="2"/>
      <c r="R105" s="65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64"/>
      <c r="M106" s="58"/>
      <c r="N106" s="2"/>
      <c r="O106" s="2"/>
      <c r="P106" s="65"/>
      <c r="Q106" s="2"/>
      <c r="R106" s="65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64"/>
      <c r="M107" s="58"/>
      <c r="N107" s="2"/>
      <c r="O107" s="2"/>
      <c r="P107" s="65"/>
      <c r="Q107" s="2"/>
      <c r="R107" s="65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64"/>
      <c r="M108" s="58"/>
      <c r="N108" s="2"/>
      <c r="O108" s="2"/>
      <c r="P108" s="65"/>
      <c r="Q108" s="2"/>
      <c r="R108" s="65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64"/>
      <c r="M109" s="58"/>
      <c r="N109" s="2"/>
      <c r="O109" s="2"/>
      <c r="P109" s="65"/>
      <c r="Q109" s="2"/>
      <c r="R109" s="65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64"/>
      <c r="M110" s="58"/>
      <c r="N110" s="2"/>
      <c r="O110" s="2"/>
      <c r="P110" s="65"/>
      <c r="Q110" s="2"/>
      <c r="R110" s="65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64"/>
      <c r="M111" s="58"/>
      <c r="N111" s="2"/>
      <c r="O111" s="2"/>
      <c r="P111" s="65"/>
      <c r="Q111" s="2"/>
      <c r="R111" s="65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64"/>
      <c r="M112" s="58"/>
      <c r="N112" s="2"/>
      <c r="O112" s="2"/>
      <c r="P112" s="65"/>
      <c r="Q112" s="2"/>
      <c r="R112" s="65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64"/>
      <c r="M113" s="58"/>
      <c r="N113" s="2"/>
      <c r="O113" s="2"/>
      <c r="P113" s="65"/>
      <c r="Q113" s="2"/>
      <c r="R113" s="65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64"/>
      <c r="M114" s="58"/>
      <c r="N114" s="2"/>
      <c r="O114" s="2"/>
      <c r="P114" s="65"/>
      <c r="Q114" s="2"/>
      <c r="R114" s="65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64"/>
      <c r="M115" s="58"/>
      <c r="N115" s="2"/>
      <c r="O115" s="2"/>
      <c r="P115" s="65"/>
      <c r="Q115" s="2"/>
      <c r="R115" s="65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64"/>
      <c r="M116" s="58"/>
      <c r="N116" s="2"/>
      <c r="O116" s="2"/>
      <c r="P116" s="65"/>
      <c r="Q116" s="2"/>
      <c r="R116" s="65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64"/>
      <c r="M117" s="58"/>
      <c r="N117" s="2"/>
      <c r="O117" s="2"/>
      <c r="P117" s="65"/>
      <c r="Q117" s="2"/>
      <c r="R117" s="65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64"/>
      <c r="M118" s="58"/>
      <c r="N118" s="2"/>
      <c r="O118" s="2"/>
      <c r="P118" s="65"/>
      <c r="Q118" s="2"/>
      <c r="R118" s="65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64"/>
      <c r="M119" s="58"/>
      <c r="N119" s="2"/>
      <c r="O119" s="2"/>
      <c r="P119" s="65"/>
      <c r="Q119" s="2"/>
      <c r="R119" s="65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64"/>
      <c r="M120" s="58"/>
      <c r="N120" s="2"/>
      <c r="O120" s="2"/>
      <c r="P120" s="65"/>
      <c r="Q120" s="2"/>
      <c r="R120" s="65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67"/>
      <c r="M121" s="68"/>
      <c r="N121" s="2"/>
      <c r="O121" s="69"/>
      <c r="P121" s="70"/>
      <c r="Q121" s="2"/>
      <c r="R121" s="70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58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8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58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8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58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58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58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58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58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58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58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58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58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58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58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58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58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58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58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58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58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58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58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58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58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58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58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58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58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58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58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58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58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58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58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58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58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58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58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58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58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58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58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58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58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58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58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58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58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58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58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58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58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58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58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58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58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58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58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58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58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58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58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58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58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58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58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58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58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58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58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58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58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58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58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58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58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58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58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58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58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58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58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58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58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58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58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58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58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58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58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58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58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58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58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58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58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58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58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58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58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58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58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58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58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58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58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58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58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58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58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58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58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58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58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58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58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58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58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58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58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58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58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58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58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58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58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58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58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58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58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58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58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58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58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58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58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58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58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58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58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58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58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58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58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58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58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58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58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58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58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58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58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58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58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58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58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58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58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58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58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58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58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58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58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58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58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58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58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58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58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58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58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58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58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58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58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58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58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58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58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58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58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58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58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58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58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58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58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58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58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58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58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58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58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58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58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58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58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58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58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58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58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58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58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58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58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58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58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58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58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58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58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58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58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58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58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58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58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58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58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58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58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58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58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58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58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58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58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58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58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58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58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58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58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58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58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58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58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58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58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58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58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58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58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58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58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58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58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58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58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58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58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58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58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58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58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58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58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58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58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58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58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58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58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58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58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58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58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58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58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58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58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58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58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58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58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58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58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58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58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58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58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58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58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58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58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58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58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58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58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58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58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58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58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58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58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58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58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58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58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58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58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58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58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58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58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58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58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58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58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58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58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58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58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58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58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58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58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58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58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58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58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58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58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58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58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58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58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58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58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58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58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58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58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58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58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58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58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58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58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58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58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58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58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58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58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58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58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58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58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58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58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58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58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58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58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58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58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58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58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58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58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58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58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58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58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58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58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58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58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58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58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58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58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58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58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58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58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58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58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58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58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58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58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58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58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58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58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58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58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58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58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58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58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58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58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58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58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58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58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58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58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58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58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58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58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58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58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58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58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58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58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58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58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58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58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58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58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58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58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58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58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58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58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58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58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58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58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58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58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58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58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58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58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58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58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58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58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58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58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58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58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58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58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58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58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58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58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58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58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58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58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58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58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58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58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58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58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58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58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58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58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58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58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58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58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58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58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58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58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58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58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58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58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58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58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58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58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58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58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58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58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58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58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58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58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58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58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58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58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58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58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58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58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58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58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58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58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58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58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58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58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58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58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58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58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58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58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58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58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58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58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58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58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58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58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58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58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58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58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58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58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58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58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58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58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58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58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58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58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58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58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58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58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58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58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58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58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58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58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58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58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58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58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58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58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58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58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58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58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58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58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58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58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58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58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58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58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58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58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58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58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58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58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58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58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58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58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58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58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58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58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58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58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58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58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58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58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58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58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58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58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58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58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58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58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58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58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58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58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58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58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58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58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58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58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58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58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58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58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58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58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58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58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58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58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58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58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58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58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58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58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58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58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58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58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58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58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58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58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58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58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58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58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58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58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58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58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58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58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58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58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58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58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58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58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58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58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58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58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58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58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58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58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58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58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58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58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58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58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58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58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58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58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58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58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58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58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58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58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58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58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58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58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58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58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58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58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58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58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58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58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58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58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58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58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58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58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58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58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58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58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58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58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58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58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58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58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58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58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58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58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58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58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58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58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58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58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58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58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58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58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58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58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58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58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58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58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58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58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58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58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58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58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58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58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58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58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58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58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58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58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58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58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58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58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58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58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58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58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58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58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58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58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58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58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58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58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58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58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58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58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58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58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58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58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58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58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58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58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58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58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58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58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58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58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58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58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58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58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58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58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58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58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58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58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58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58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58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58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58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58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58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58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58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58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58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58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58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58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58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58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58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58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58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58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58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58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58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58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58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58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58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58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58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58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58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58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58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58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58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58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58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58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58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58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58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58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58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58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58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58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58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58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58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58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58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58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58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58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58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58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58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58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58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58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58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58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58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58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58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58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58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58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58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58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58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58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58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58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58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58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58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58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58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58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58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58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58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58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58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58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58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58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58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58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58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58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58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58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58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58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58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58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58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58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58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58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58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58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58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58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58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58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58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58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58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58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58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58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58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58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58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58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58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58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58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58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K1011" s="2"/>
      <c r="L1011" s="2"/>
      <c r="M1011" s="58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K1012" s="2"/>
      <c r="L1012" s="2"/>
      <c r="M1012" s="58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K1013" s="2"/>
      <c r="L1013" s="2"/>
      <c r="M1013" s="58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K1014" s="2"/>
      <c r="L1014" s="2"/>
      <c r="M1014" s="58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K1015" s="2"/>
      <c r="L1015" s="2"/>
      <c r="M1015" s="58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E1016" s="2"/>
      <c r="K1016" s="2"/>
      <c r="L1016" s="2"/>
      <c r="M1016" s="58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E1017" s="2"/>
      <c r="K1017" s="2"/>
      <c r="L1017" s="2"/>
      <c r="M1017" s="58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E1018" s="2"/>
      <c r="K1018" s="2"/>
      <c r="L1018" s="2"/>
      <c r="M1018" s="58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E1019" s="2"/>
      <c r="K1019" s="2"/>
      <c r="L1019" s="2"/>
      <c r="M1019" s="58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E1020" s="2"/>
      <c r="K1020" s="2"/>
      <c r="L1020" s="2"/>
      <c r="M1020" s="58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E1021" s="2"/>
      <c r="K1021" s="2"/>
      <c r="L1021" s="2"/>
      <c r="M1021" s="58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E1022" s="2"/>
      <c r="K1022" s="2"/>
      <c r="L1022" s="2"/>
      <c r="M1022" s="58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</sheetData>
  <dataValidations>
    <dataValidation type="list" allowBlank="1" sqref="L4:L121">
      <formula1>$F$4:$F$9</formula1>
    </dataValidation>
  </dataValidations>
  <hyperlinks>
    <hyperlink r:id="rId1" ref="R4"/>
    <hyperlink r:id="rId2" ref="R5"/>
    <hyperlink r:id="rId3" ref="R6"/>
    <hyperlink r:id="rId4" ref="R7"/>
    <hyperlink r:id="rId5" ref="R8"/>
    <hyperlink r:id="rId6" ref="R9"/>
    <hyperlink r:id="rId7" ref="R10"/>
    <hyperlink r:id="rId8" ref="R11"/>
    <hyperlink r:id="rId9" ref="R12"/>
    <hyperlink r:id="rId10" ref="R13"/>
    <hyperlink r:id="rId11" ref="R14"/>
    <hyperlink r:id="rId12" ref="R15"/>
    <hyperlink r:id="rId13" ref="R16"/>
    <hyperlink r:id="rId14" ref="R18"/>
    <hyperlink r:id="rId15" ref="R19"/>
    <hyperlink r:id="rId16" ref="R22"/>
    <hyperlink r:id="rId17" ref="R23"/>
    <hyperlink r:id="rId18" ref="R24"/>
    <hyperlink r:id="rId19" ref="R25"/>
    <hyperlink r:id="rId20" ref="R26"/>
    <hyperlink r:id="rId21" ref="R27"/>
    <hyperlink r:id="rId22" ref="R29"/>
    <hyperlink r:id="rId23" ref="R30"/>
    <hyperlink r:id="rId24" ref="R31"/>
    <hyperlink r:id="rId25" ref="R3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64</v>
      </c>
    </row>
    <row r="2">
      <c r="A2" s="71" t="s">
        <v>65</v>
      </c>
    </row>
    <row r="4">
      <c r="A4" s="71" t="s">
        <v>66</v>
      </c>
    </row>
    <row r="6">
      <c r="A6" s="71" t="s">
        <v>67</v>
      </c>
    </row>
    <row r="8">
      <c r="A8" s="71" t="s">
        <v>68</v>
      </c>
    </row>
    <row r="10">
      <c r="A10" s="71"/>
    </row>
  </sheetData>
  <drawing r:id="rId1"/>
</worksheet>
</file>